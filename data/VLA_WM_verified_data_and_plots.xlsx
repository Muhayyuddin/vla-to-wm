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501b0a1224447ea" /></Relationships>
</file>

<file path=xl/workbook.xml><?xml version="1.0" encoding="utf-8"?>
<x:workbook xmlns:r="http://schemas.openxmlformats.org/officeDocument/2006/relationships" xmlns:x="http://schemas.openxmlformats.org/spreadsheetml/2006/main">
  <x:sheets>
    <x:sheet name="README" sheetId="1" r:id="R1eb1dff7572c437b"/>
    <x:sheet name="Audit Summary" sheetId="2" r:id="R7961befae82b4ae0"/>
    <x:sheet name="Verified Data Scale" sheetId="3" r:id="R309b9d4a3f2345f2"/>
    <x:sheet name="World-Gymnast" sheetId="4" r:id="Rf46416035e2343f9"/>
    <x:sheet name="Verified Sources" sheetId="5" r:id="R653fcc015f7a4c0b"/>
    <x:sheet name="Source Verification" sheetId="6" r:id="Rca55602a2d5847a9"/>
    <x:sheet name="Record Decisions" sheetId="7" r:id="Rf2a559b43e344d7b"/>
    <x:sheet name="Column Decisions" sheetId="8" r:id="Rf8aaaeea65514d11"/>
    <x:sheet name="Figures" sheetId="9" r:id="R7b23a8a820e24272"/>
    <x:sheet name="Plot Index" sheetId="10" r:id="R3d60df7c0c75457a"/>
    <x:sheet name="Cited Papers" sheetId="11" r:id="R5a170c7490324429"/>
    <x:sheet name="Current References" sheetId="12" r:id="CurrentReferences20261001"/>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
    <x:numFmt numFmtId="203" formatCode="0.000"/>
    <x:numFmt numFmtId="204" formatCode="+0;-0;0"/>
  </x:numFmts>
  <x:fonts count="21">
    <x:font>
      <x:sz val="11"/>
      <x:name val="Carlito"/>
    </x:font>
    <x:font>
      <x:b/>
      <x:sz val="16"/>
      <x:color rgb="FFFFFFFF"/>
      <x:name val="Aptos Display"/>
    </x:font>
    <x:font>
      <x:b/>
      <x:sz val="10"/>
      <x:color rgb="FFFFFFFF"/>
      <x:name val="Aptos"/>
    </x:font>
    <x:font>
      <x:b/>
      <x:sz val="10"/>
      <x:color rgb="FF17365D"/>
      <x:name val="Aptos"/>
    </x:font>
    <x:font>
      <x:b/>
      <x:sz val="10"/>
      <x:color rgb="FF1F2937"/>
      <x:name val="Aptos"/>
    </x:font>
    <x:font>
      <x:b/>
      <x:sz val="10"/>
      <x:color rgb="FF7F3300"/>
      <x:name val="Aptos"/>
    </x:font>
    <x:font>
      <x:sz val="10"/>
      <x:color rgb="FF1F2937"/>
      <x:name val="Aptos"/>
    </x:font>
    <x:font>
      <x:b/>
      <x:sz val="15"/>
      <x:color rgb="FFFFFFFF"/>
      <x:name val="Aptos Display"/>
    </x:font>
    <x:font>
      <x:sz val="11"/>
      <x:color rgb="FF202A35"/>
      <x:name val="Arial"/>
    </x:font>
    <x:font>
      <x:b/>
      <x:sz val="16"/>
      <x:color rgb="FF17365D"/>
      <x:name val="Arial"/>
    </x:font>
    <x:font>
      <x:b/>
      <x:sz val="11"/>
      <x:color rgb="FF17365D"/>
      <x:name val="Arial"/>
    </x:font>
    <x:font>
      <x:sz val="11"/>
      <x:color rgb="FF465364"/>
      <x:name val="Arial"/>
    </x:font>
    <x:font>
      <x:b/>
      <x:sz val="11"/>
      <x:color rgb="FFFFFFFF"/>
      <x:name val="Arial"/>
    </x:font>
    <x:font>
      <x:sz val="11"/>
      <x:color rgb="FF0563C1"/>
      <x:name val="Arial"/>
    </x:font>
    <x:font>
      <x:sz val="11"/>
      <x:name val="Carlito"/>
    </x:font>
    <x:font>
      <x:sz val="11"/>
      <x:color rgb="FF202A35"/>
      <x:name val="Arial"/>
    </x:font>
    <x:font>
      <x:b/>
      <x:sz val="16"/>
      <x:color rgb="FF17365D"/>
      <x:name val="Arial"/>
    </x:font>
    <x:font>
      <x:b/>
      <x:sz val="11"/>
      <x:color rgb="FF17365D"/>
      <x:name val="Arial"/>
    </x:font>
    <x:font>
      <x:sz val="11"/>
      <x:color rgb="FF465364"/>
      <x:name val="Arial"/>
    </x:font>
    <x:font>
      <x:b/>
      <x:sz val="11"/>
      <x:color rgb="FFFFFFFF"/>
      <x:name val="Arial"/>
    </x:font>
    <x:font>
      <x:sz val="11"/>
      <x:color rgb="FF0563C1"/>
      <x:name val="Arial"/>
    </x:font>
  </x:fonts>
  <x:fills count="14">
    <x:fill>
      <x:patternFill patternType="none"/>
    </x:fill>
    <x:fill>
      <x:patternFill patternType="gray125"/>
    </x:fill>
    <x:fill>
      <x:patternFill patternType="solid">
        <x:fgColor rgb="FF17365D"/>
      </x:patternFill>
    </x:fill>
    <x:fill>
      <x:patternFill patternType="solid">
        <x:fgColor rgb="FF0F766E"/>
      </x:patternFill>
    </x:fill>
    <x:fill>
      <x:patternFill patternType="solid">
        <x:fgColor rgb="FFEAF2F8"/>
      </x:patternFill>
    </x:fill>
    <x:fill>
      <x:patternFill patternType="solid">
        <x:fgColor rgb="FFC65911"/>
      </x:patternFill>
    </x:fill>
    <x:fill>
      <x:patternFill patternType="solid">
        <x:fgColor rgb="FFFCE4D6"/>
      </x:patternFill>
    </x:fill>
    <x:fill>
      <x:patternFill patternType="solid">
        <x:fgColor rgb="FFF2F2F2"/>
      </x:patternFill>
    </x:fill>
    <x:fill>
      <x:patternFill patternType="solid">
        <x:fgColor rgb="FF17365D"/>
      </x:patternFill>
    </x:fill>
    <x:fill>
      <x:patternFill patternType="solid">
        <x:fgColor rgb="FFFFF2CC"/>
      </x:patternFill>
    </x:fill>
    <x:fill>
      <x:patternFill patternType="none"/>
    </x:fill>
    <x:fill>
      <x:patternFill patternType="gray125"/>
    </x:fill>
    <x:fill>
      <x:patternFill patternType="solid">
        <x:fgColor rgb="FF17365D"/>
      </x:patternFill>
    </x:fill>
    <x:fill>
      <x:patternFill patternType="solid">
        <x:fgColor rgb="FFFFF2CC"/>
      </x:patternFill>
    </x:fill>
  </x:fills>
  <x:borders count="5">
    <x:border/>
    <x:border>
      <x:left style="thin">
        <x:color rgb="FFD9E1E8"/>
      </x:left>
      <x:right style="thin">
        <x:color rgb="FFD9E1E8"/>
      </x:right>
      <x:top style="thin">
        <x:color rgb="FFD9E1E8"/>
      </x:top>
      <x:bottom style="thin">
        <x:color rgb="FFD9E1E8"/>
      </x:bottom>
    </x:border>
    <x:border>
      <x:bottom style="thin">
        <x:color rgb="FFD9E1E8"/>
      </x:bottom>
    </x:border>
    <x:border>
      <x:top style="thin">
        <x:color rgb="FFD9E1E8"/>
      </x:top>
      <x:bottom style="thin">
        <x:color rgb="FFD9E1E8"/>
      </x:bottom>
    </x:border>
    <x:border/>
  </x:borders>
  <x:cellStyleXfs count="2">
    <x:xf numFmtId="0" fontId="0" fillId="0" borderId="0"/>
    <x:xf numFmtId="0" fontId="14" fillId="10" borderId="4"/>
  </x:cellStyleXfs>
  <x:cellXfs count="8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200" fontId="4" fillId="0"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200" fontId="4" fillId="0" borderId="1"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2" fillId="5" borderId="1" xfId="0" applyNumberFormat="1" applyFont="1" applyFill="1" applyBorder="1"/>
    <x:xf numFmtId="0" fontId="5" fillId="6" borderId="1" xfId="0" applyNumberFormat="1" applyFont="1" applyFill="1" applyBorder="1"/>
    <x:xf numFmtId="0" fontId="6" fillId="0" borderId="1" xfId="0" applyNumberFormat="1" applyFont="1" applyFill="1" applyBorder="1" applyAlignment="1">
      <x:alignment vertical="top" wrapText="1"/>
    </x:xf>
    <x:xf numFmtId="0" fontId="0" fillId="7" borderId="0" xfId="0" applyNumberFormat="1" applyFont="1" applyFill="1" applyBorder="1"/>
    <x:xf numFmtId="0" fontId="3" fillId="7" borderId="0" xfId="0" applyNumberFormat="1" applyFont="1" applyFill="1" applyBorder="1"/>
    <x:xf numFmtId="0" fontId="6"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6" fillId="0" borderId="3" xfId="0" applyNumberFormat="1" applyFont="1" applyFill="1" applyBorder="1" applyAlignment="1">
      <x:alignment vertical="top" wrapText="1"/>
    </x:xf>
    <x:xf numFmtId="200" fontId="6" fillId="0" borderId="3" xfId="0" applyNumberFormat="1" applyFont="1" applyFill="1" applyBorder="1" applyAlignment="1">
      <x:alignment vertical="top" wrapText="1"/>
    </x:xf>
    <x:xf numFmtId="201" fontId="6" fillId="0" borderId="3" xfId="0" applyNumberFormat="1" applyFont="1" applyFill="1" applyBorder="1" applyAlignment="1">
      <x:alignment vertical="top" wrapText="1"/>
    </x:xf>
    <x:xf numFmtId="202" fontId="6" fillId="0" borderId="3" xfId="0" applyNumberFormat="1" applyFont="1" applyFill="1" applyBorder="1" applyAlignment="1">
      <x:alignment vertical="top" wrapText="1"/>
    </x:xf>
    <x:xf numFmtId="203" fontId="6" fillId="0" borderId="3" xfId="0" applyNumberFormat="1" applyFont="1" applyFill="1" applyBorder="1" applyAlignment="1">
      <x:alignment vertical="top" wrapText="1"/>
    </x:xf>
    <x:xf numFmtId="0" fontId="6" fillId="3"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204" fontId="6" fillId="0" borderId="3" xfId="0" applyNumberFormat="1" applyFont="1" applyFill="1" applyBorder="1" applyAlignment="1">
      <x:alignment vertical="top" wrapText="1"/>
    </x:xf>
    <x:xf numFmtId="0" fontId="6"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vertical="center" wrapText="1"/>
    </x:xf>
    <x:xf numFmtId="0" fontId="2" fillId="5" borderId="2" xfId="0" applyNumberFormat="1" applyFont="1" applyFill="1" applyBorder="1" applyAlignment="1">
      <x:alignment vertical="center" wrapText="1"/>
    </x:xf>
    <x:xf numFmtId="0" fontId="7" fillId="2" borderId="0" xfId="0" applyNumberFormat="1" applyFont="1" applyFill="1" applyBorder="1"/>
    <x:xf numFmtId="0" fontId="8" fillId="0" borderId="0" xfId="0" applyNumberFormat="1" applyFont="1" applyFill="1" applyBorder="1"/>
    <x:xf numFmtId="0" fontId="8" fillId="0" borderId="0" xfId="0" applyNumberFormat="1" applyFont="1" applyFill="1" applyBorder="1" applyAlignment="1">
      <x:alignment vertical="top"/>
    </x:xf>
    <x:xf numFmtId="0" fontId="9" fillId="0" borderId="0" xfId="0" applyNumberFormat="1" applyFont="1" applyFill="1" applyBorder="1" applyAlignment="1">
      <x:alignment vertical="top"/>
    </x:xf>
    <x:xf numFmtId="0" fontId="10" fillId="0" borderId="0" xfId="0" applyNumberFormat="1" applyFont="1" applyFill="1" applyBorder="1" applyAlignment="1">
      <x:alignment vertical="top"/>
    </x:xf>
    <x:xf numFmtId="200" fontId="10" fillId="0" borderId="0" xfId="0" applyNumberFormat="1" applyFont="1" applyFill="1" applyBorder="1" applyAlignment="1">
      <x:alignment vertical="top"/>
    </x:xf>
    <x:xf numFmtId="200" fontId="10" fillId="0" borderId="0" xfId="0" applyNumberFormat="1" applyFont="1" applyFill="1" applyBorder="1" applyAlignment="1">
      <x:alignment horizontal="left" vertical="top"/>
    </x:xf>
    <x:xf numFmtId="0" fontId="10" fillId="0" borderId="0" xfId="0" applyNumberFormat="1" applyFont="1" applyFill="1" applyBorder="1" applyAlignment="1">
      <x:alignment horizontal="left" vertical="top"/>
    </x:xf>
    <x:xf numFmtId="0" fontId="8" fillId="0" borderId="0" xfId="0" applyNumberFormat="1" applyFont="1" applyFill="1" applyBorder="1" applyAlignment="1">
      <x:alignment vertical="top" wrapText="1"/>
    </x:xf>
    <x:xf numFmtId="0" fontId="11" fillId="0" borderId="0" xfId="0" applyNumberFormat="1" applyFont="1" applyFill="1" applyBorder="1" applyAlignment="1">
      <x:alignment vertical="top" wrapText="1"/>
    </x:xf>
    <x:xf numFmtId="200" fontId="8" fillId="0" borderId="0" xfId="0" applyNumberFormat="1" applyFont="1" applyFill="1" applyBorder="1" applyAlignment="1">
      <x:alignment vertical="top"/>
    </x:xf>
    <x:xf numFmtId="0" fontId="8" fillId="8" borderId="0" xfId="0" applyNumberFormat="1" applyFont="1" applyFill="1" applyBorder="1" applyAlignment="1">
      <x:alignment vertical="top"/>
    </x:xf>
    <x:xf numFmtId="0" fontId="12" fillId="8" borderId="0" xfId="0" applyNumberFormat="1" applyFont="1" applyFill="1" applyBorder="1" applyAlignment="1">
      <x:alignment vertical="top"/>
    </x:xf>
    <x:xf numFmtId="0" fontId="12" fillId="8" borderId="0" xfId="0" applyNumberFormat="1" applyFont="1" applyFill="1" applyBorder="1" applyAlignment="1">
      <x:alignment vertical="top" wrapText="1"/>
    </x:xf>
    <x:xf numFmtId="0" fontId="12" fillId="8" borderId="0" xfId="0" applyNumberFormat="1" applyFont="1" applyFill="1" applyBorder="1" applyAlignment="1">
      <x:alignment horizontal="center" vertical="top" wrapText="1"/>
    </x:xf>
    <x:xf numFmtId="0" fontId="12" fillId="8" borderId="0" xfId="0" applyNumberFormat="1" applyFont="1" applyFill="1" applyBorder="1" applyAlignment="1">
      <x:alignment horizontal="center" vertical="center" wrapText="1"/>
    </x:xf>
    <x:xf numFmtId="200" fontId="8" fillId="0" borderId="0" xfId="0" applyNumberFormat="1" applyFont="1" applyFill="1" applyBorder="1" applyAlignment="1">
      <x:alignment vertical="top" wrapText="1"/>
    </x:xf>
    <x:xf numFmtId="200" fontId="8" fillId="0" borderId="0" xfId="0" applyNumberFormat="1" applyFont="1" applyFill="1" applyBorder="1" applyAlignment="1">
      <x:alignment horizontal="right" vertical="top" wrapText="1"/>
    </x:xf>
    <x:xf numFmtId="0" fontId="8" fillId="0" borderId="0" xfId="0" applyNumberFormat="1" applyFont="1" applyFill="1" applyBorder="1" applyAlignment="1">
      <x:alignment horizontal="left" vertical="top" wrapText="1"/>
    </x:xf>
    <x:xf numFmtId="0" fontId="8" fillId="9" borderId="0" xfId="0" applyNumberFormat="1" applyFont="1" applyFill="1" applyBorder="1" applyAlignment="1">
      <x:alignment horizontal="left" vertical="top" wrapText="1"/>
    </x:xf>
    <x:xf numFmtId="0" fontId="13" fillId="0" borderId="0" xfId="0" applyNumberFormat="1" applyFont="1" applyFill="1" applyBorder="1" applyAlignment="1">
      <x:alignment horizontal="left" vertical="top" wrapText="1"/>
    </x:xf>
    <x:xf numFmtId="0" fontId="14" fillId="10" borderId="4" xfId="1"/>
    <x:xf numFmtId="0" fontId="15" fillId="10" borderId="4" xfId="1" applyNumberFormat="1" applyFont="1" applyFill="1" applyBorder="1"/>
    <x:xf numFmtId="0" fontId="15" fillId="10" borderId="4" xfId="1" applyNumberFormat="1" applyFont="1" applyFill="1" applyBorder="1" applyAlignment="1">
      <x:alignment vertical="top"/>
    </x:xf>
    <x:xf numFmtId="0" fontId="16" fillId="10" borderId="4" xfId="1" applyNumberFormat="1" applyFont="1" applyFill="1" applyBorder="1" applyAlignment="1">
      <x:alignment vertical="top"/>
    </x:xf>
    <x:xf numFmtId="0" fontId="17" fillId="10" borderId="4" xfId="1" applyNumberFormat="1" applyFont="1" applyFill="1" applyBorder="1" applyAlignment="1">
      <x:alignment vertical="top"/>
    </x:xf>
    <x:xf numFmtId="200" fontId="17" fillId="10" borderId="4" xfId="1" applyNumberFormat="1" applyFont="1" applyFill="1" applyBorder="1" applyAlignment="1">
      <x:alignment vertical="top"/>
    </x:xf>
    <x:xf numFmtId="0" fontId="15" fillId="10" borderId="4" xfId="1" applyNumberFormat="1" applyFont="1" applyFill="1" applyBorder="1" applyAlignment="1">
      <x:alignment vertical="top" wrapText="1"/>
    </x:xf>
    <x:xf numFmtId="0" fontId="18" fillId="10" borderId="4" xfId="1" applyNumberFormat="1" applyFont="1" applyFill="1" applyBorder="1" applyAlignment="1">
      <x:alignment vertical="top" wrapText="1"/>
    </x:xf>
    <x:xf numFmtId="200" fontId="15" fillId="10" borderId="4" xfId="1" applyNumberFormat="1" applyFont="1" applyFill="1" applyBorder="1" applyAlignment="1">
      <x:alignment vertical="top"/>
    </x:xf>
    <x:xf numFmtId="0" fontId="15" fillId="12" borderId="4" xfId="1" applyNumberFormat="1" applyFont="1" applyFill="1" applyBorder="1" applyAlignment="1">
      <x:alignment vertical="top"/>
    </x:xf>
    <x:xf numFmtId="0" fontId="19" fillId="12" borderId="4" xfId="1" applyNumberFormat="1" applyFont="1" applyFill="1" applyBorder="1" applyAlignment="1">
      <x:alignment vertical="top"/>
    </x:xf>
    <x:xf numFmtId="0" fontId="19" fillId="12" borderId="4" xfId="1" applyNumberFormat="1" applyFont="1" applyFill="1" applyBorder="1" applyAlignment="1">
      <x:alignment vertical="top" wrapText="1"/>
    </x:xf>
    <x:xf numFmtId="0" fontId="19" fillId="12" borderId="4" xfId="1" applyNumberFormat="1" applyFont="1" applyFill="1" applyBorder="1" applyAlignment="1">
      <x:alignment horizontal="center" vertical="top" wrapText="1"/>
    </x:xf>
    <x:xf numFmtId="0" fontId="19" fillId="12" borderId="4" xfId="1" applyNumberFormat="1" applyFont="1" applyFill="1" applyBorder="1" applyAlignment="1">
      <x:alignment horizontal="center" vertical="center" wrapText="1"/>
    </x:xf>
    <x:xf numFmtId="200" fontId="15" fillId="10" borderId="4" xfId="1" applyNumberFormat="1" applyFont="1" applyFill="1" applyBorder="1" applyAlignment="1">
      <x:alignment vertical="top" wrapText="1"/>
    </x:xf>
    <x:xf numFmtId="200" fontId="15" fillId="10" borderId="4" xfId="1" applyNumberFormat="1" applyFont="1" applyFill="1" applyBorder="1" applyAlignment="1">
      <x:alignment horizontal="right" vertical="top" wrapText="1"/>
    </x:xf>
    <x:xf numFmtId="0" fontId="15" fillId="13" borderId="4" xfId="1" applyNumberFormat="1" applyFont="1" applyFill="1" applyBorder="1" applyAlignment="1">
      <x:alignment vertical="top" wrapText="1"/>
    </x:xf>
    <x:xf numFmtId="0" fontId="20" fillId="10" borderId="4" xfId="1" applyNumberFormat="1" applyFont="1" applyFill="1" applyBorder="1" applyAlignment="1">
      <x:alignment vertical="top" wrapText="1"/>
    </x:xf>
  </x:cellXfs>
  <x:cellStyles count="1">
    <x:cellStyle name="Normal" xfId="0"/>
  </x:cellStyles>
</x:styleSheet>
</file>

<file path=xl/_rels/workbook.xml.rels><?xml version='1.0' encoding='utf-8'?>
<Relationships xmlns="http://schemas.openxmlformats.org/package/2006/relationships"><Relationship Type="http://schemas.openxmlformats.org/officeDocument/2006/relationships/styles" Target="/xl/styles.xml" Id="Re53aa0c958c64292" /><Relationship Type="http://schemas.openxmlformats.org/officeDocument/2006/relationships/theme" Target="/xl/theme/theme1.xml" Id="Rddd184ed945246f4" /><Relationship Type="http://schemas.openxmlformats.org/officeDocument/2006/relationships/sharedStrings" Target="/xl/sharedStrings.xml" Id="R25e956312ac1476e" /><Relationship Type="http://schemas.openxmlformats.org/officeDocument/2006/relationships/worksheet" Target="/xl/worksheets/sheet1.xml" Id="R1eb1dff7572c437b" /><Relationship Type="http://schemas.openxmlformats.org/officeDocument/2006/relationships/worksheet" Target="/xl/worksheets/sheet2.xml" Id="R7961befae82b4ae0" /><Relationship Type="http://schemas.openxmlformats.org/officeDocument/2006/relationships/worksheet" Target="/xl/worksheets/sheet3.xml" Id="R309b9d4a3f2345f2" /><Relationship Type="http://schemas.openxmlformats.org/officeDocument/2006/relationships/worksheet" Target="/xl/worksheets/sheet4.xml" Id="Rf46416035e2343f9" /><Relationship Type="http://schemas.openxmlformats.org/officeDocument/2006/relationships/worksheet" Target="/xl/worksheets/sheet5.xml" Id="R653fcc015f7a4c0b" /><Relationship Type="http://schemas.openxmlformats.org/officeDocument/2006/relationships/worksheet" Target="/xl/worksheets/sheet6.xml" Id="Rca55602a2d5847a9" /><Relationship Type="http://schemas.openxmlformats.org/officeDocument/2006/relationships/worksheet" Target="/xl/worksheets/sheet7.xml" Id="Rf2a559b43e344d7b" /><Relationship Type="http://schemas.openxmlformats.org/officeDocument/2006/relationships/worksheet" Target="/xl/worksheets/sheet8.xml" Id="Rf8aaaeea65514d11" /><Relationship Type="http://schemas.openxmlformats.org/officeDocument/2006/relationships/worksheet" Target="/xl/worksheets/sheet9.xml" Id="R7b23a8a820e24272" /><Relationship Type="http://schemas.openxmlformats.org/officeDocument/2006/relationships/worksheet" Target="/xl/worksheets/sheet10.xml" Id="R3d60df7c0c75457a" /><Relationship Type="http://schemas.openxmlformats.org/officeDocument/2006/relationships/worksheet" Target="/xl/worksheets/sheet11.xml" Id="R5a170c7490324429" /><Relationship Id="CurrentReferences20261001" Type="http://schemas.openxmlformats.org/officeDocument/2006/relationships/worksheet" Target="worksheets/sheet12.xml" /></Relationships>
</file>

<file path=xl/drawings/_rels/drawing1.xml.rels>&#65279;<?xml version="1.0" encoding="utf-8"?><Relationships xmlns="http://schemas.openxmlformats.org/package/2006/relationships"><Relationship Type="http://schemas.openxmlformats.org/officeDocument/2006/relationships/chart" Target="/xl/drawings/charts/chart1.xml" Id="Rb15281de9c024964" /><Relationship Type="http://schemas.openxmlformats.org/officeDocument/2006/relationships/chart" Target="/xl/drawings/charts/chart2.xml" Id="R1fc44df755184a6c"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Workbook preview: source-reported scale (log10 hours)</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log10(hours)</c:v>
          </c:tx>
          <c:spPr>
            <a:solidFill xmlns:a="http://schemas.openxmlformats.org/drawingml/2006/main">
              <a:srgbClr val="0072B2"/>
            </a:solidFill>
          </c:spPr>
          <c:cat>
            <c:strRef>
              <c:f>'Figures'!$A$5:$A$11</c:f>
              <c:strCache>
                <c:ptCount val="0"/>
              </c:strCache>
            </c:strRef>
          </c:cat>
          <c:val>
            <c:numRef>
              <c:f>'Figures'!$B$5:$B$11</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Workbook preview: real-robot success (%)</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SIMPLER</c:v>
          </c:tx>
          <c:spPr>
            <a:solidFill xmlns:a="http://schemas.openxmlformats.org/drawingml/2006/main">
              <a:srgbClr val="0072B2"/>
            </a:solidFill>
          </c:spPr>
          <c:cat>
            <c:strRef>
              <c:f>'Figures'!$A$24:$A$27</c:f>
              <c:strCache>
                <c:ptCount val="0"/>
              </c:strCache>
            </c:strRef>
          </c:cat>
          <c:val>
            <c:numRef>
              <c:f>'Figures'!$B$24:$B$27</c:f>
              <c:numCache>
                <c:formatCode>General</c:formatCode>
                <c:ptCount val="0"/>
              </c:numCache>
            </c:numRef>
          </c:val>
        </c:ser>
        <c:ser>
          <c:idx val="1"/>
          <c:order val="1"/>
          <c:tx>
            <c:v>World-Gymnast</c:v>
          </c:tx>
          <c:spPr>
            <a:solidFill xmlns:a="http://schemas.openxmlformats.org/drawingml/2006/main">
              <a:srgbClr val="D55E00"/>
            </a:solidFill>
          </c:spPr>
          <c:cat>
            <c:strRef>
              <c:f>'Figures'!$A$24:$A$27</c:f>
              <c:strCache>
                <c:ptCount val="0"/>
              </c:strCache>
            </c:strRef>
          </c:cat>
          <c:val>
            <c:numRef>
              <c:f>'Figures'!$C$24:$C$27</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4</xdr:col>
      <xdr:colOff>0</xdr:colOff>
      <xdr:row>3</xdr:row>
      <xdr:rowOff>0</xdr:rowOff>
    </xdr:from>
    <xdr:to>
      <xdr:col>13</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b15281de9c024964"/>
        </a:graphicData>
      </a:graphic>
    </xdr:graphicFrame>
    <xdr:clientData/>
  </xdr:twoCellAnchor>
  <xdr:twoCellAnchor>
    <xdr:from>
      <xdr:col>4</xdr:col>
      <xdr:colOff>0</xdr:colOff>
      <xdr:row>22</xdr:row>
      <xdr:rowOff>0</xdr:rowOff>
    </xdr:from>
    <xdr:to>
      <xdr:col>13</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c44df755184a6c"/>
        </a:graphicData>
      </a:graphic>
    </xdr:graphicFrame>
    <xdr:clientData/>
  </xdr:twoCellAnchor>
</xdr:wsDr>
</file>

<file path=xl/tables/table1.xml><?xml version="1.0" encoding="utf-8"?>
<x:table xmlns:x="http://schemas.openxmlformats.org/spreadsheetml/2006/main" id="1" name="AuditSummaryTable" displayName="AuditSummaryTable" ref="A1:H4" headerRowCount="1" totalsRowCount="0" totalsRowShown="0">
  <x:tableColumns count="8">
    <x:tableColumn id="1" name="input_file"/>
    <x:tableColumn id="2" name="input_rows"/>
    <x:tableColumn id="3" name="retained_or_corrected_input_rows"/>
    <x:tableColumn id="4" name="excluded_input_rows"/>
    <x:tableColumn id="5" name="verified_output_rows"/>
    <x:tableColumn id="6" name="audit_conclusion"/>
    <x:tableColumn id="7" name="retention_rate (derived)"/>
    <x:tableColumn id="8" name="reconciliation"/>
  </x:tableColumns>
  <x:tableStyleInfo name="TableStyleMedium2" showFirstColumn="0" showLastColumn="0" showRowStripes="1" showColumnStripes="0"/>
</x:table>
</file>

<file path=xl/tables/table2.xml><?xml version="1.0" encoding="utf-8"?>
<x:table xmlns:x="http://schemas.openxmlformats.org/spreadsheetml/2006/main" id="2" name="VerifiedDataScaleTable" displayName="VerifiedDataScaleTable" ref="A1:L8" headerRowCount="1" totalsRowCount="0" totalsRowShown="0">
  <x:tableColumns count="12">
    <x:tableColumn id="1" name="record_id"/>
    <x:tableColumn id="2" name="system"/>
    <x:tableColumn id="3" name="measurement_scope"/>
    <x:tableColumn id="4" name="data_role"/>
    <x:tableColumn id="5" name="reported_hours"/>
    <x:tableColumn id="6" name="bound_type"/>
    <x:tableColumn id="7" name="source_version"/>
    <x:tableColumn id="8" name="source_locator"/>
    <x:tableColumn id="9" name="source_url"/>
    <x:tableColumn id="10" name="verification_date"/>
    <x:tableColumn id="11" name="verification_status"/>
    <x:tableColumn id="12" name="log10_hours (derived)"/>
  </x:tableColumns>
  <x:tableStyleInfo name="TableStyleMedium2" showFirstColumn="0" showLastColumn="0" showRowStripes="1" showColumnStripes="0"/>
</x:table>
</file>

<file path=xl/tables/table3.xml><?xml version="1.0" encoding="utf-8"?>
<x:table xmlns:x="http://schemas.openxmlformats.org/spreadsheetml/2006/main" id="3" name="VerifiedWorldGymnastTable" displayName="VerifiedWorldGymnastTable" ref="A1:Q5" headerRowCount="1" totalsRowCount="0" totalsRowShown="0">
  <x:tableColumns count="17">
    <x:tableColumn id="1" name="task"/>
    <x:tableColumn id="2" name="baseline_system"/>
    <x:tableColumn id="3" name="baseline_mean_pct"/>
    <x:tableColumn id="4" name="baseline_se_pct"/>
    <x:tableColumn id="5" name="proposed_system"/>
    <x:tableColumn id="6" name="proposed_mean_pct"/>
    <x:tableColumn id="7" name="proposed_se_pct"/>
    <x:tableColumn id="8" name="trials_per_evaluation"/>
    <x:tableColumn id="9" name="repeated_evaluations"/>
    <x:tableColumn id="10" name="evaluation_protocol"/>
    <x:tableColumn id="11" name="source_version"/>
    <x:tableColumn id="12" name="source_locator"/>
    <x:tableColumn id="13" name="source_url"/>
    <x:tableColumn id="14" name="verification_date"/>
    <x:tableColumn id="15" name="verification_status"/>
    <x:tableColumn id="16" name="delta_pp (derived)"/>
    <x:tableColumn id="17" name="direction (derived)"/>
  </x:tableColumns>
  <x:tableStyleInfo name="TableStyleMedium2" showFirstColumn="0" showLastColumn="0" showRowStripes="1" showColumnStripes="0"/>
</x:table>
</file>

<file path=xl/tables/table4.xml><?xml version="1.0" encoding="utf-8"?>
<x:table xmlns:x="http://schemas.openxmlformats.org/spreadsheetml/2006/main" id="4" name="VerifiedSourcesTable" displayName="VerifiedSourcesTable" ref="A1:H7" headerRowCount="1" totalsRowCount="0" totalsRowShown="0">
  <x:tableColumns count="8">
    <x:tableColumn id="1" name="source_id"/>
    <x:tableColumn id="2" name="system_or_dataset"/>
    <x:tableColumn id="3" name="title"/>
    <x:tableColumn id="4" name="source_version_date"/>
    <x:tableColumn id="5" name="source_version"/>
    <x:tableColumn id="6" name="source_url"/>
    <x:tableColumn id="7" name="verification_date"/>
    <x:tableColumn id="8" name="verification_status"/>
  </x:tableColumns>
  <x:tableStyleInfo name="TableStyleMedium2" showFirstColumn="0" showLastColumn="0" showRowStripes="1" showColumnStripes="0"/>
</x:table>
</file>

<file path=xl/tables/table5.xml><?xml version="1.0" encoding="utf-8"?>
<x:table xmlns:x="http://schemas.openxmlformats.org/spreadsheetml/2006/main" id="5" name="SourceVerificationTable" displayName="SourceVerificationTable" ref="A1:H13" headerRowCount="1" totalsRowCount="0" totalsRowShown="0">
  <x:tableColumns count="8">
    <x:tableColumn id="1" name="claim_id"/>
    <x:tableColumn id="2" name="claim_type"/>
    <x:tableColumn id="3" name="submitted_representation"/>
    <x:tableColumn id="4" name="verified_representation"/>
    <x:tableColumn id="5" name="decision"/>
    <x:tableColumn id="6" name="source_locator"/>
    <x:tableColumn id="7" name="source_url"/>
    <x:tableColumn id="8" name="verification_date"/>
  </x:tableColumns>
  <x:tableStyleInfo name="TableStyleMedium2" showFirstColumn="0" showLastColumn="0" showRowStripes="1" showColumnStripes="0"/>
</x:table>
</file>

<file path=xl/tables/table6.xml><?xml version="1.0" encoding="utf-8"?>
<x:table xmlns:x="http://schemas.openxmlformats.org/spreadsheetml/2006/main" id="6" name="RecordDecisionsTable" displayName="RecordDecisionsTable" ref="A1:E148" headerRowCount="1" totalsRowCount="0" totalsRowShown="0">
  <x:tableColumns count="5">
    <x:tableColumn id="1" name="input_file"/>
    <x:tableColumn id="2" name="input_row_id"/>
    <x:tableColumn id="3" name="decision"/>
    <x:tableColumn id="4" name="retained_output_id"/>
    <x:tableColumn id="5" name="reason"/>
  </x:tableColumns>
  <x:tableStyleInfo name="TableStyleMedium2" showFirstColumn="0" showLastColumn="0" showRowStripes="1" showColumnStripes="0"/>
</x:table>
</file>

<file path=xl/tables/table7.xml><?xml version="1.0" encoding="utf-8"?>
<x:table xmlns:x="http://schemas.openxmlformats.org/spreadsheetml/2006/main" id="7" name="ColumnDecisionsTable" displayName="ColumnDecisionsTable" ref="A1:D52" headerRowCount="1" totalsRowCount="0" totalsRowShown="0">
  <x:tableColumns count="4">
    <x:tableColumn id="1" name="input_file"/>
    <x:tableColumn id="2" name="input_column"/>
    <x:tableColumn id="3" name="decision"/>
    <x:tableColumn id="4" name="reason"/>
  </x:tableColumns>
  <x:tableStyleInfo name="TableStyleMedium2" showFirstColumn="0" showLastColumn="0" showRowStripes="1" showColumnStripes="0"/>
</x:table>
</file>

<file path=xl/tables/table8.xml><?xml version="1.0" encoding="utf-8"?>
<x:table xmlns:x="http://schemas.openxmlformats.org/spreadsheetml/2006/main" id="8" name="PlotIndexTable" displayName="PlotIndexTable" ref="A1:E5" headerRowCount="1" totalsRowCount="0" totalsRowShown="0">
  <x:tableColumns count="5">
    <x:tableColumn id="1" name="file"/>
    <x:tableColumn id="2" name="format"/>
    <x:tableColumn id="3" name="resolution"/>
    <x:tableColumn id="4" name="source data"/>
    <x:tableColumn id="5" name="recommended use"/>
  </x:tableColumns>
  <x:tableStyleInfo name="TableStyleMedium2" showFirstColumn="0" showLastColumn="0" showRowStripes="1" showColumnStripes="0"/>
</x:table>
</file>

<file path=xl/tables/table9.xml><?xml version="1.0" encoding="utf-8"?>
<x:table xmlns:x="http://schemas.openxmlformats.org/spreadsheetml/2006/main" id="9" name="CitedPapers" displayName="CitedPapers" ref="A8:M183" headerRowCount="1" totalsRowCount="0" totalsRowShown="0">
  <x:autoFilter ref="A8:M183"/>
  <x:tableColumns count="13">
    <x:tableColumn id="1" name="Ref."/>
    <x:tableColumn id="2" name="Year (as cited)"/>
    <x:tableColumn id="3" name="Reference (as cited)"/>
    <x:tableColumn id="4" name="Two-sentence summary"/>
    <x:tableColumn id="5" name="Primary source link"/>
    <x:tableColumn id="6" name="Topic / role"/>
    <x:tableColumn id="7" name="Source type"/>
    <x:tableColumn id="8" name="Review decision"/>
    <x:tableColumn id="9" name="Decision reason"/>
    <x:tableColumn id="10" name="Report ID"/>
    <x:tableColumn id="11" name="Citation key"/>
    <x:tableColumn id="12" name="Metadata notes"/>
    <x:tableColumn id="13" name="Summary basis"/>
  </x:tableColumns>
  <x:tableStyleInfo name="TableStyleMedium2" showFirstColumn="0" showLastColumn="0" showRowStripes="1" showColumnStripes="0"/>
</x:table>
</file>

<file path=xl/tables/table10.xml><?xml version="1.0" encoding="utf-8"?>
<x:table xmlns:x="http://schemas.openxmlformats.org/spreadsheetml/2006/main" id="10" name="CurrentManuscriptReferences" displayName="CurrentManuscriptReferences" ref="A8:H187" headerRowCount="1" totalsRowCount="0" totalsRowShown="0">
  <x:autoFilter ref="A8:H187"/>
  <x:tableColumns count="8">
    <x:tableColumn id="1" name="Ref."/>
    <x:tableColumn id="2" name="Citation key"/>
    <x:tableColumn id="3" name="Year (as cited)"/>
    <x:tableColumn id="4" name="Reference (as cited)"/>
    <x:tableColumn id="5" name="Two-sentence summary"/>
    <x:tableColumn id="6" name="Primary source link"/>
    <x:tableColumn id="7" name="Source type"/>
    <x:tableColumn id="8" name="Review decis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c7c1216363249da" /></Relationships>
</file>

<file path=xl/worksheets/_rels/sheet3.xml.rels>&#65279;<?xml version="1.0" encoding="utf-8"?><Relationships xmlns="http://schemas.openxmlformats.org/package/2006/relationships"><Relationship Type="http://schemas.openxmlformats.org/officeDocument/2006/relationships/table" Target="/xl/tables/table2.xml" Id="R5fab78d6f7414e7d" /></Relationships>
</file>

<file path=xl/worksheets/_rels/sheet4.xml.rels>&#65279;<?xml version="1.0" encoding="utf-8"?><Relationships xmlns="http://schemas.openxmlformats.org/package/2006/relationships"><Relationship Type="http://schemas.openxmlformats.org/officeDocument/2006/relationships/table" Target="/xl/tables/table3.xml" Id="R4b5deb6c325a4e09" /></Relationships>
</file>

<file path=xl/worksheets/_rels/sheet5.xml.rels>&#65279;<?xml version="1.0" encoding="utf-8"?><Relationships xmlns="http://schemas.openxmlformats.org/package/2006/relationships"><Relationship Type="http://schemas.openxmlformats.org/officeDocument/2006/relationships/table" Target="/xl/tables/table4.xml" Id="R68d8fc6546ef46d2" /></Relationships>
</file>

<file path=xl/worksheets/_rels/sheet6.xml.rels>&#65279;<?xml version="1.0" encoding="utf-8"?><Relationships xmlns="http://schemas.openxmlformats.org/package/2006/relationships"><Relationship Type="http://schemas.openxmlformats.org/officeDocument/2006/relationships/table" Target="/xl/tables/table5.xml" Id="R3f669d406ee64ff0" /></Relationships>
</file>

<file path=xl/worksheets/_rels/sheet7.xml.rels>&#65279;<?xml version="1.0" encoding="utf-8"?><Relationships xmlns="http://schemas.openxmlformats.org/package/2006/relationships"><Relationship Type="http://schemas.openxmlformats.org/officeDocument/2006/relationships/table" Target="/xl/tables/table6.xml" Id="Rd0c6f40b91364359" /></Relationships>
</file>

<file path=xl/worksheets/_rels/sheet8.xml.rels>&#65279;<?xml version="1.0" encoding="utf-8"?><Relationships xmlns="http://schemas.openxmlformats.org/package/2006/relationships"><Relationship Type="http://schemas.openxmlformats.org/officeDocument/2006/relationships/table" Target="/xl/tables/table7.xml" Id="R76b97736432b484d" /></Relationships>
</file>

<file path=xl/worksheets/_rels/sheet9.xml.rels>&#65279;<?xml version="1.0" encoding="utf-8"?><Relationships xmlns="http://schemas.openxmlformats.org/package/2006/relationships"><Relationship Type="http://schemas.openxmlformats.org/officeDocument/2006/relationships/drawing" Target="/xl/drawings/drawing1.xml" Id="R43d04596e6e642cb" /></Relationships>
</file>

<file path=xl/worksheets/_rels/sheet10.xml.rels>&#65279;<?xml version="1.0" encoding="utf-8"?><Relationships xmlns="http://schemas.openxmlformats.org/package/2006/relationships"><Relationship Type="http://schemas.openxmlformats.org/officeDocument/2006/relationships/table" Target="/xl/tables/table8.xml" Id="Rc1ddd13532424f2b" /></Relationships>
</file>

<file path=xl/worksheets/_rels/sheet11.xml.rels><?xml version='1.0' encoding='utf-8'?>
<ns0:Relationships xmlns:ns0="http://schemas.openxmlformats.org/package/2006/relationships"><ns0:Relationship Type="http://schemas.openxmlformats.org/officeDocument/2006/relationships/table" Target="/xl/tables/table9.xml" Id="R2b6d2b82f1314e27" /><ns0:Relationship Id="paperLink9" Type="http://schemas.openxmlformats.org/officeDocument/2006/relationships/hyperlink" Target="https://arxiv.org/abs/2307.15818" TargetMode="External" /><ns0:Relationship Id="paperLink10" Type="http://schemas.openxmlformats.org/officeDocument/2006/relationships/hyperlink" Target="https://arxiv.org/abs/2406.09246" TargetMode="External" /><ns0:Relationship Id="paperLink11" Type="http://schemas.openxmlformats.org/officeDocument/2006/relationships/hyperlink" Target="https://arxiv.org/abs/2310.08864" TargetMode="External" /><ns0:Relationship Id="paperLink12" Type="http://schemas.openxmlformats.org/officeDocument/2006/relationships/hyperlink" Target="https://arxiv.org/abs/2410.24164" TargetMode="External" /><ns0:Relationship Id="paperLink13" Type="http://schemas.openxmlformats.org/officeDocument/2006/relationships/hyperlink" Target="https://arxiv.org/abs/2503.14734" TargetMode="External" /><ns0:Relationship Id="paperLink14" Type="http://schemas.openxmlformats.org/officeDocument/2006/relationships/hyperlink" Target="https://arxiv.org/abs/2503.20020" TargetMode="External" /><ns0:Relationship Id="paperLink15" Type="http://schemas.openxmlformats.org/officeDocument/2006/relationships/hyperlink" Target="https://www.figure.ai/news/helix" TargetMode="External" /><ns0:Relationship Id="paperLink16" Type="http://schemas.openxmlformats.org/officeDocument/2006/relationships/hyperlink" Target="https://arxiv.org/abs/2502.19645" TargetMode="External" /><ns0:Relationship Id="paperLink17" Type="http://schemas.openxmlformats.org/officeDocument/2006/relationships/hyperlink" Target="https://arxiv.org/abs/2510.13626" TargetMode="External" /><ns0:Relationship Id="paperLink18" Type="http://schemas.openxmlformats.org/officeDocument/2006/relationships/hyperlink" Target="https://arxiv.org/abs/2512.16881" TargetMode="External" /><ns0:Relationship Id="paperLink19" Type="http://schemas.openxmlformats.org/officeDocument/2006/relationships/hyperlink" Target="https://arxiv.org/abs/2509.09674" TargetMode="External" /><ns0:Relationship Id="paperLink20" Type="http://schemas.openxmlformats.org/officeDocument/2006/relationships/hyperlink" Target="https://arxiv.org/abs/2505.17016" TargetMode="External" /><ns0:Relationship Id="paperLink21" Type="http://schemas.openxmlformats.org/officeDocument/2006/relationships/hyperlink" Target="https://arxiv.org/abs/2506.09985" TargetMode="External" /><ns0:Relationship Id="paperLink22" Type="http://schemas.openxmlformats.org/officeDocument/2006/relationships/hyperlink" Target="https://arxiv.org/abs/2505.12705" TargetMode="External" /><ns0:Relationship Id="paperLink23" Type="http://schemas.openxmlformats.org/officeDocument/2006/relationships/hyperlink" Target="https://arxiv.org/abs/2509.24527" TargetMode="External" /><ns0:Relationship Id="paperLink24" Type="http://schemas.openxmlformats.org/officeDocument/2006/relationships/hyperlink" Target="https://arxiv.org/abs/2506.21539" TargetMode="External" /><ns0:Relationship Id="paperLink25" Type="http://schemas.openxmlformats.org/officeDocument/2006/relationships/hyperlink" Target="https://arxiv.org/abs/2601.16163" TargetMode="External" /><ns0:Relationship Id="paperLink26" Type="http://schemas.openxmlformats.org/officeDocument/2006/relationships/hyperlink" Target="https://arxiv.org/abs/2405.14093" TargetMode="External" /><ns0:Relationship Id="paperLink27" Type="http://schemas.openxmlformats.org/officeDocument/2006/relationships/hyperlink" Target="https://arxiv.org/abs/2507.01925" TargetMode="External" /><ns0:Relationship Id="paperLink28" Type="http://schemas.openxmlformats.org/officeDocument/2006/relationships/hyperlink" Target="https://arxiv.org/abs/2510.07077" TargetMode="External" /><ns0:Relationship Id="paperLink29" Type="http://schemas.openxmlformats.org/officeDocument/2006/relationships/hyperlink" Target="https://doi.org/10.1016/j.inffus.2025.104062" TargetMode="External" /><ns0:Relationship Id="paperLink30" Type="http://schemas.openxmlformats.org/officeDocument/2006/relationships/hyperlink" Target="https://arxiv.org/abs/2605.00080" TargetMode="External" /><ns0:Relationship Id="paperLink31" Type="http://schemas.openxmlformats.org/officeDocument/2006/relationships/hyperlink" Target="https://arxiv.org/abs/2510.16732" TargetMode="External" /><ns0:Relationship Id="paperLink32" Type="http://schemas.openxmlformats.org/officeDocument/2006/relationships/hyperlink" Target="https://arxiv.org/abs/2606.00113" TargetMode="External" /><ns0:Relationship Id="paperLink33" Type="http://schemas.openxmlformats.org/officeDocument/2006/relationships/hyperlink" Target="https://arxiv.org/abs/2605.12090" TargetMode="External" /><ns0:Relationship Id="paperLink34" Type="http://schemas.openxmlformats.org/officeDocument/2006/relationships/hyperlink" Target="https://arxiv.org/abs/2606.20781" TargetMode="External" /><ns0:Relationship Id="paperLink35" Type="http://schemas.openxmlformats.org/officeDocument/2006/relationships/hyperlink" Target="https://arxiv.org/abs/2505.04769" TargetMode="External" /><ns0:Relationship Id="paperLink36" Type="http://schemas.openxmlformats.org/officeDocument/2006/relationships/hyperlink" Target="https://arxiv.org/abs/2508.13073" TargetMode="External" /><ns0:Relationship Id="paperLink37" Type="http://schemas.openxmlformats.org/officeDocument/2006/relationships/hyperlink" Target="https://arxiv.org/abs/2510.24795" TargetMode="External" /><ns0:Relationship Id="paperLink38" Type="http://schemas.openxmlformats.org/officeDocument/2006/relationships/hyperlink" Target="https://doi.org/10.36227/techrxiv.176531955.54563920/v1" TargetMode="External" /><ns0:Relationship Id="paperLink39" Type="http://schemas.openxmlformats.org/officeDocument/2006/relationships/hyperlink" Target="https://arxiv.org/abs/2509.20021" TargetMode="External" /><ns0:Relationship Id="paperLink40" Type="http://schemas.openxmlformats.org/officeDocument/2006/relationships/hyperlink" Target="https://arxiv.org/abs/2503.03464" TargetMode="External" /><ns0:Relationship Id="paperLink41" Type="http://schemas.openxmlformats.org/officeDocument/2006/relationships/hyperlink" Target="https://doi.org/10.1145/3746449" TargetMode="External" /><ns0:Relationship Id="paperLink42" Type="http://schemas.openxmlformats.org/officeDocument/2006/relationships/hyperlink" Target="https://arxiv.org/abs/2511.02097" TargetMode="External" /><ns0:Relationship Id="paperLink43" Type="http://schemas.openxmlformats.org/officeDocument/2006/relationships/hyperlink" Target="https://openaccess.thecvf.com/content/ICCV2025W/WDFM-AD/html/Jiang_A_Survey_on_Vision-Language-Action_Models_for_Autonomous_Driving_ICCVW_2025_paper.html" TargetMode="External" /><ns0:Relationship Id="paperLink44" Type="http://schemas.openxmlformats.org/officeDocument/2006/relationships/hyperlink" Target="https://arxiv.org/abs/2509.19012" TargetMode="External" /><ns0:Relationship Id="paperLink45" Type="http://schemas.openxmlformats.org/officeDocument/2006/relationships/hyperlink" Target="https://doi.org/10.1136/bmj.n71" TargetMode="External" /><ns0:Relationship Id="paperLink46" Type="http://schemas.openxmlformats.org/officeDocument/2006/relationships/hyperlink" Target="https://arxiv.org/abs/2212.06817" TargetMode="External" /><ns0:Relationship Id="paperLink47" Type="http://schemas.openxmlformats.org/officeDocument/2006/relationships/hyperlink" Target="https://arxiv.org/abs/2210.03094" TargetMode="External" /><ns0:Relationship Id="paperLink48" Type="http://schemas.openxmlformats.org/officeDocument/2006/relationships/hyperlink" Target="https://arxiv.org/abs/2311.01378" TargetMode="External" /><ns0:Relationship Id="paperLink49" Type="http://schemas.openxmlformats.org/officeDocument/2006/relationships/hyperlink" Target="https://arxiv.org/abs/2406.11815" TargetMode="External" /><ns0:Relationship Id="paperLink50" Type="http://schemas.openxmlformats.org/officeDocument/2006/relationships/hyperlink" Target="https://arxiv.org/abs/2410.11758" TargetMode="External" /><ns0:Relationship Id="paperLink51" Type="http://schemas.openxmlformats.org/officeDocument/2006/relationships/hyperlink" Target="https://arxiv.org/abs/2501.09747" TargetMode="External" /><ns0:Relationship Id="paperLink52" Type="http://schemas.openxmlformats.org/officeDocument/2006/relationships/hyperlink" Target="https://arxiv.org/abs/2508.20072" TargetMode="External" /><ns0:Relationship Id="paperLink53" Type="http://schemas.openxmlformats.org/officeDocument/2006/relationships/hyperlink" Target="https://arxiv.org/abs/2405.12213" TargetMode="External" /><ns0:Relationship Id="paperLink54" Type="http://schemas.openxmlformats.org/officeDocument/2006/relationships/hyperlink" Target="https://arxiv.org/abs/2410.07864" TargetMode="External" /><ns0:Relationship Id="paperLink55" Type="http://schemas.openxmlformats.org/officeDocument/2006/relationships/hyperlink" Target="https://arxiv.org/abs/2411.19650" TargetMode="External" /><ns0:Relationship Id="paperLink56" Type="http://schemas.openxmlformats.org/officeDocument/2006/relationships/hyperlink" Target="https://arxiv.org/abs/2502.05855" TargetMode="External" /><ns0:Relationship Id="paperLink57" Type="http://schemas.openxmlformats.org/officeDocument/2006/relationships/hyperlink" Target="https://arxiv.org/abs/2304.13705" TargetMode="External" /><ns0:Relationship Id="paperLink58" Type="http://schemas.openxmlformats.org/officeDocument/2006/relationships/hyperlink" Target="https://arxiv.org/abs/2401.02117" TargetMode="External" /><ns0:Relationship Id="paperLink59" Type="http://schemas.openxmlformats.org/officeDocument/2006/relationships/hyperlink" Target="https://arxiv.org/abs/2303.04137" TargetMode="External" /><ns0:Relationship Id="paperLink60" Type="http://schemas.openxmlformats.org/officeDocument/2006/relationships/hyperlink" Target="https://arxiv.org/abs/2504.16054" TargetMode="External" /><ns0:Relationship Id="paperLink61" Type="http://schemas.openxmlformats.org/officeDocument/2006/relationships/hyperlink" Target="https://arxiv.org/abs/2204.01691" TargetMode="External" /><ns0:Relationship Id="paperLink62" Type="http://schemas.openxmlformats.org/officeDocument/2006/relationships/hyperlink" Target="https://arxiv.org/abs/2303.03378" TargetMode="External" /><ns0:Relationship Id="paperLink63" Type="http://schemas.openxmlformats.org/officeDocument/2006/relationships/hyperlink" Target="https://arxiv.org/abs/2403.01823" TargetMode="External" /><ns0:Relationship Id="paperLink64" Type="http://schemas.openxmlformats.org/officeDocument/2006/relationships/hyperlink" Target="https://arxiv.org/abs/2209.07753" TargetMode="External" /><ns0:Relationship Id="paperLink65" Type="http://schemas.openxmlformats.org/officeDocument/2006/relationships/hyperlink" Target="https://arxiv.org/abs/2307.05973" TargetMode="External" /><ns0:Relationship Id="paperLink66" Type="http://schemas.openxmlformats.org/officeDocument/2006/relationships/hyperlink" Target="https://arxiv.org/abs/2502.19417" TargetMode="External" /><ns0:Relationship Id="paperLink67" Type="http://schemas.openxmlformats.org/officeDocument/2006/relationships/hyperlink" Target="https://arxiv.org/abs/2407.08693" TargetMode="External" /><ns0:Relationship Id="paperLink68" Type="http://schemas.openxmlformats.org/officeDocument/2006/relationships/hyperlink" Target="https://arxiv.org/abs/2505.11917" TargetMode="External" /><ns0:Relationship Id="paperLink69" Type="http://schemas.openxmlformats.org/officeDocument/2006/relationships/hyperlink" Target="https://arxiv.org/abs/2506.10826" TargetMode="External" /><ns0:Relationship Id="paperLink70" Type="http://schemas.openxmlformats.org/officeDocument/2006/relationships/hyperlink" Target="https://arxiv.org/abs/2409.01652" TargetMode="External" /><ns0:Relationship Id="paperLink71" Type="http://schemas.openxmlformats.org/officeDocument/2006/relationships/hyperlink" Target="https://arxiv.org/abs/2403.03174" TargetMode="External" /><ns0:Relationship Id="paperLink72" Type="http://schemas.openxmlformats.org/officeDocument/2006/relationships/hyperlink" Target="https://arxiv.org/abs/2503.22020" TargetMode="External" /><ns0:Relationship Id="paperLink73" Type="http://schemas.openxmlformats.org/officeDocument/2006/relationships/hyperlink" Target="https://arxiv.org/abs/2412.07493v1" TargetMode="External" /><ns0:Relationship Id="paperLink74" Type="http://schemas.openxmlformats.org/officeDocument/2006/relationships/hyperlink" Target="https://arxiv.org/abs/2209.05451" TargetMode="External" /><ns0:Relationship Id="paperLink75" Type="http://schemas.openxmlformats.org/officeDocument/2006/relationships/hyperlink" Target="https://arxiv.org/abs/2306.14896" TargetMode="External" /><ns0:Relationship Id="paperLink76" Type="http://schemas.openxmlformats.org/officeDocument/2006/relationships/hyperlink" Target="https://arxiv.org/abs/2406.08545" TargetMode="External" /><ns0:Relationship Id="paperLink77" Type="http://schemas.openxmlformats.org/officeDocument/2006/relationships/hyperlink" Target="https://arxiv.org/abs/2306.17817" TargetMode="External" /><ns0:Relationship Id="paperLink78" Type="http://schemas.openxmlformats.org/officeDocument/2006/relationships/hyperlink" Target="https://arxiv.org/abs/2403.09631" TargetMode="External" /><ns0:Relationship Id="paperLink79" Type="http://schemas.openxmlformats.org/officeDocument/2006/relationships/hyperlink" Target="https://arxiv.org/abs/2501.15830" TargetMode="External" /><ns0:Relationship Id="paperLink80" Type="http://schemas.openxmlformats.org/officeDocument/2006/relationships/hyperlink" Target="https://arxiv.org/abs/2503.07511" TargetMode="External" /><ns0:Relationship Id="paperLink81" Type="http://schemas.openxmlformats.org/officeDocument/2006/relationships/hyperlink" Target="https://arxiv.org/abs/2411.18623" TargetMode="External" /><ns0:Relationship Id="paperLink82" Type="http://schemas.openxmlformats.org/officeDocument/2006/relationships/hyperlink" Target="https://arxiv.org/abs/2503.08950" TargetMode="External" /><ns0:Relationship Id="paperLink83" Type="http://schemas.openxmlformats.org/officeDocument/2006/relationships/hyperlink" Target="https://arxiv.org/abs/2506.07961" TargetMode="External" /><ns0:Relationship Id="paperLink84" Type="http://schemas.openxmlformats.org/officeDocument/2006/relationships/hyperlink" Target="https://arxiv.org/abs/2505.03233" TargetMode="External" /><ns0:Relationship Id="paperLink85" Type="http://schemas.openxmlformats.org/officeDocument/2006/relationships/hyperlink" Target="https://arxiv.org/abs/2508.09071" TargetMode="External" /><ns0:Relationship Id="paperLink86" Type="http://schemas.openxmlformats.org/officeDocument/2006/relationships/hyperlink" Target="https://arxiv.org/abs/2505.05800" TargetMode="External" /><ns0:Relationship Id="paperLink87" Type="http://schemas.openxmlformats.org/officeDocument/2006/relationships/hyperlink" Target="https://arxiv.org/abs/2501.16664" TargetMode="External" /><ns0:Relationship Id="paperLink88" Type="http://schemas.openxmlformats.org/officeDocument/2006/relationships/hyperlink" Target="https://arxiv.org/abs/2411.19309" TargetMode="External" /><ns0:Relationship Id="paperLink89" Type="http://schemas.openxmlformats.org/officeDocument/2006/relationships/hyperlink" Target="https://arxiv.org/abs/2412.09858" TargetMode="External" /><ns0:Relationship Id="paperLink90" Type="http://schemas.openxmlformats.org/officeDocument/2006/relationships/hyperlink" Target="https://arxiv.org/abs/2502.05450" TargetMode="External" /><ns0:Relationship Id="paperLink91" Type="http://schemas.openxmlformats.org/officeDocument/2006/relationships/hyperlink" Target="https://arxiv.org/abs/2505.18719" TargetMode="External" /><ns0:Relationship Id="paperLink92" Type="http://schemas.openxmlformats.org/officeDocument/2006/relationships/hyperlink" Target="https://arxiv.org/abs/2409.16578" TargetMode="External" /><ns0:Relationship Id="paperLink93" Type="http://schemas.openxmlformats.org/officeDocument/2006/relationships/hyperlink" Target="https://arxiv.org/abs/2409.12514" TargetMode="External" /><ns0:Relationship Id="paperLink94" Type="http://schemas.openxmlformats.org/officeDocument/2006/relationships/hyperlink" Target="https://arxiv.org/abs/2506.01844" TargetMode="External" /><ns0:Relationship Id="paperLink95" Type="http://schemas.openxmlformats.org/officeDocument/2006/relationships/hyperlink" Target="https://arxiv.org/abs/2507.14049" TargetMode="External" /><ns0:Relationship Id="paperLink96" Type="http://schemas.openxmlformats.org/officeDocument/2006/relationships/hyperlink" Target="https://arxiv.org/abs/2406.04339" TargetMode="External" /><ns0:Relationship Id="paperLink97" Type="http://schemas.openxmlformats.org/officeDocument/2006/relationships/hyperlink" Target="https://arxiv.org/abs/2506.07530" TargetMode="External" /><ns0:Relationship Id="paperLink98" Type="http://schemas.openxmlformats.org/officeDocument/2006/relationships/hyperlink" Target="https://arxiv.org/abs/2502.02175" TargetMode="External" /><ns0:Relationship Id="paperLink99" Type="http://schemas.openxmlformats.org/officeDocument/2006/relationships/hyperlink" Target="https://arxiv.org/abs/2506.10100" TargetMode="External" /><ns0:Relationship Id="paperLink100" Type="http://schemas.openxmlformats.org/officeDocument/2006/relationships/hyperlink" Target="https://arxiv.org/abs/2503.02310" TargetMode="External" /><ns0:Relationship Id="paperLink101" Type="http://schemas.openxmlformats.org/officeDocument/2006/relationships/hyperlink" Target="https://arxiv.org/abs/2506.13725" TargetMode="External" /><ns0:Relationship Id="paperLink102" Type="http://schemas.openxmlformats.org/officeDocument/2006/relationships/hyperlink" Target="https://arxiv.org/abs/2411.02359" TargetMode="External" /><ns0:Relationship Id="paperLink103" Type="http://schemas.openxmlformats.org/officeDocument/2006/relationships/hyperlink" Target="https://deepmind.google/blog/gemini-robotics-on-device-brings-ai-to-local-robotic-devices/" TargetMode="External" /><ns0:Relationship Id="paperLink104" Type="http://schemas.openxmlformats.org/officeDocument/2006/relationships/hyperlink" Target="https://arxiv.org/abs/2506.04217" TargetMode="External" /><ns0:Relationship Id="paperLink105" Type="http://schemas.openxmlformats.org/officeDocument/2006/relationships/hyperlink" Target="https://arxiv.org/abs/2401.12202" TargetMode="External" /><ns0:Relationship Id="paperLink106" Type="http://schemas.openxmlformats.org/officeDocument/2006/relationships/hyperlink" Target="https://arxiv.org/abs/2508.19958" TargetMode="External" /><ns0:Relationship Id="paperLink107" Type="http://schemas.openxmlformats.org/officeDocument/2006/relationships/hyperlink" Target="https://arxiv.org/abs/2506.00411" TargetMode="External" /><ns0:Relationship Id="paperLink108" Type="http://schemas.openxmlformats.org/officeDocument/2006/relationships/hyperlink" Target="https://research.nvidia.com/labs/gear/gr00t-n1_5/" TargetMode="External" /><ns0:Relationship Id="paperLink109" Type="http://schemas.openxmlformats.org/officeDocument/2006/relationships/hyperlink" Target="https://arxiv.org/abs/2410.06158" TargetMode="External" /><ns0:Relationship Id="paperLink110" Type="http://schemas.openxmlformats.org/officeDocument/2006/relationships/hyperlink" Target="https://arxiv.org/abs/2510.03342" TargetMode="External" /><ns0:Relationship Id="paperLink111" Type="http://schemas.openxmlformats.org/officeDocument/2006/relationships/hyperlink" Target="https://arxiv.org/abs/2407.07775" TargetMode="External" /><ns0:Relationship Id="paperLink112" Type="http://schemas.openxmlformats.org/officeDocument/2006/relationships/hyperlink" Target="https://proceedings.mlr.press/v15/ross11a/ross11a.pdf" TargetMode="External" /><ns0:Relationship Id="paperLink113" Type="http://schemas.openxmlformats.org/officeDocument/2006/relationships/hyperlink" Target="https://arxiv.org/abs/2403.12945" TargetMode="External" /><ns0:Relationship Id="paperLink114" Type="http://schemas.openxmlformats.org/officeDocument/2006/relationships/hyperlink" Target="https://arxiv.org/abs/2501.03575" TargetMode="External" /><ns0:Relationship Id="paperLink115" Type="http://schemas.openxmlformats.org/officeDocument/2006/relationships/hyperlink" Target="https://arxiv.org/abs/2501.09038" TargetMode="External" /><ns0:Relationship Id="paperLink116" Type="http://schemas.openxmlformats.org/officeDocument/2006/relationships/hyperlink" Target="https://arxiv.org/abs/2502.20694" TargetMode="External" /><ns0:Relationship Id="paperLink117" Type="http://schemas.openxmlformats.org/officeDocument/2006/relationships/hyperlink" Target="https://arxiv.org/abs/2503.21755" TargetMode="External" /><ns0:Relationship Id="paperLink118" Type="http://schemas.openxmlformats.org/officeDocument/2006/relationships/hyperlink" Target="https://arxiv.org/abs/2405.05941" TargetMode="External" /><ns0:Relationship Id="paperLink119" Type="http://schemas.openxmlformats.org/officeDocument/2006/relationships/hyperlink" Target="https://arxiv.org/abs/2606.23686" TargetMode="External" /><ns0:Relationship Id="paperLink120" Type="http://schemas.openxmlformats.org/officeDocument/2006/relationships/hyperlink" Target="https://arxiv.org/abs/2307.01928" TargetMode="External" /><ns0:Relationship Id="paperLink121" Type="http://schemas.openxmlformats.org/officeDocument/2006/relationships/hyperlink" Target="https://arxiv.org/abs/1903.11199" TargetMode="External" /><ns0:Relationship Id="paperLink122" Type="http://schemas.openxmlformats.org/officeDocument/2006/relationships/hyperlink" Target="https://arxiv.org/abs/1709.07523" TargetMode="External" /><ns0:Relationship Id="paperLink123" Type="http://schemas.openxmlformats.org/officeDocument/2006/relationships/hyperlink" Target="https://arxiv.org/abs/1803.10122" TargetMode="External" /><ns0:Relationship Id="paperLink124" Type="http://schemas.openxmlformats.org/officeDocument/2006/relationships/hyperlink" Target="https://arxiv.org/abs/1811.04551" TargetMode="External" /><ns0:Relationship Id="paperLink125" Type="http://schemas.openxmlformats.org/officeDocument/2006/relationships/hyperlink" Target="https://arxiv.org/abs/2301.04104" TargetMode="External" /><ns0:Relationship Id="paperLink126" Type="http://schemas.openxmlformats.org/officeDocument/2006/relationships/hyperlink" Target="https://arxiv.org/abs/1911.08265" TargetMode="External" /><ns0:Relationship Id="paperLink127" Type="http://schemas.openxmlformats.org/officeDocument/2006/relationships/hyperlink" Target="https://arxiv.org/abs/2310.16828" TargetMode="External" /><ns0:Relationship Id="paperLink128" Type="http://schemas.openxmlformats.org/officeDocument/2006/relationships/hyperlink" Target="https://arxiv.org/abs/2302.00111" TargetMode="External" /><ns0:Relationship Id="paperLink129" Type="http://schemas.openxmlformats.org/officeDocument/2006/relationships/hyperlink" Target="https://arxiv.org/abs/2310.06114" TargetMode="External" /><ns0:Relationship Id="paperLink130" Type="http://schemas.openxmlformats.org/officeDocument/2006/relationships/hyperlink" Target="https://arxiv.org/abs/2310.08576" TargetMode="External" /><ns0:Relationship Id="paperLink131" Type="http://schemas.openxmlformats.org/officeDocument/2006/relationships/hyperlink" Target="https://arxiv.org/abs/2310.10639" TargetMode="External" /><ns0:Relationship Id="paperLink132" Type="http://schemas.openxmlformats.org/officeDocument/2006/relationships/hyperlink" Target="https://arxiv.org/abs/2310.10625" TargetMode="External" /><ns0:Relationship Id="paperLink133" Type="http://schemas.openxmlformats.org/officeDocument/2006/relationships/hyperlink" Target="https://arxiv.org/abs/2405.15223" TargetMode="External" /><ns0:Relationship Id="paperLink134" Type="http://schemas.openxmlformats.org/officeDocument/2006/relationships/hyperlink" Target="https://arxiv.org/abs/2312.13139" TargetMode="External" /><ns0:Relationship Id="paperLink135" Type="http://schemas.openxmlformats.org/officeDocument/2006/relationships/hyperlink" Target="https://arxiv.org/abs/2402.15391" TargetMode="External" /><ns0:Relationship Id="paperLink136" Type="http://schemas.openxmlformats.org/officeDocument/2006/relationships/hyperlink" Target="https://deepmind.google/blog/genie-3-a-new-frontier-for-world-models/" TargetMode="External" /><ns0:Relationship Id="paperLink137" Type="http://schemas.openxmlformats.org/officeDocument/2006/relationships/hyperlink" Target="https://arxiv.org/abs/2508.05635" TargetMode="External" /><ns0:Relationship Id="paperLink138" Type="http://schemas.openxmlformats.org/officeDocument/2006/relationships/hyperlink" Target="https://arxiv.org/abs/2301.08243" TargetMode="External" /><ns0:Relationship Id="paperLink139" Type="http://schemas.openxmlformats.org/officeDocument/2006/relationships/hyperlink" Target="https://arxiv.org/abs/2404.08471" TargetMode="External" /><ns0:Relationship Id="paperLink140" Type="http://schemas.openxmlformats.org/officeDocument/2006/relationships/hyperlink" Target="https://arxiv.org/abs/2411.04983" TargetMode="External" /><ns0:Relationship Id="paperLink141" Type="http://schemas.openxmlformats.org/officeDocument/2006/relationships/hyperlink" Target="https://arxiv.org/abs/2606.15768" TargetMode="External" /><ns0:Relationship Id="paperLink142" Type="http://schemas.openxmlformats.org/officeDocument/2006/relationships/hyperlink" Target="https://arxiv.org/abs/2602.10098" TargetMode="External" /><ns0:Relationship Id="paperLink143" Type="http://schemas.openxmlformats.org/officeDocument/2006/relationships/hyperlink" Target="https://arxiv.org/abs/2504.20995" TargetMode="External" /><ns0:Relationship Id="paperLink144" Type="http://schemas.openxmlformats.org/officeDocument/2006/relationships/hyperlink" Target="https://arxiv.org/abs/2508.17600" TargetMode="External" /><ns0:Relationship Id="paperLink145" Type="http://schemas.openxmlformats.org/officeDocument/2006/relationships/hyperlink" Target="https://arxiv.org/abs/2403.08321" TargetMode="External" /><ns0:Relationship Id="paperLink146" Type="http://schemas.openxmlformats.org/officeDocument/2006/relationships/hyperlink" Target="https://arxiv.org/abs/2404.13026" TargetMode="External" /><ns0:Relationship Id="paperLink147" Type="http://schemas.openxmlformats.org/officeDocument/2006/relationships/hyperlink" Target="https://arxiv.org/abs/2606.26663" TargetMode="External" /><ns0:Relationship Id="paperLink148" Type="http://schemas.openxmlformats.org/officeDocument/2006/relationships/hyperlink" Target="https://arxiv.org/abs/2607.07287" TargetMode="External" /><ns0:Relationship Id="paperLink149" Type="http://schemas.openxmlformats.org/officeDocument/2006/relationships/hyperlink" Target="https://arxiv.org/abs/2310.17596" TargetMode="External" /><ns0:Relationship Id="paperLink150" Type="http://schemas.openxmlformats.org/officeDocument/2006/relationships/hyperlink" Target="https://arxiv.org/abs/2410.24185" TargetMode="External" /><ns0:Relationship Id="paperLink151" Type="http://schemas.openxmlformats.org/officeDocument/2006/relationships/hyperlink" Target="https://arxiv.org/abs/2505.19017" TargetMode="External" /><ns0:Relationship Id="paperLink152" Type="http://schemas.openxmlformats.org/officeDocument/2006/relationships/hyperlink" Target="https://arxiv.org/abs/2602.02454" TargetMode="External" /><ns0:Relationship Id="paperLink153" Type="http://schemas.openxmlformats.org/officeDocument/2006/relationships/hyperlink" Target="https://arxiv.org/abs/2505.15659" TargetMode="External" /><ns0:Relationship Id="paperLink154" Type="http://schemas.openxmlformats.org/officeDocument/2006/relationships/hyperlink" Target="https://arxiv.org/abs/2507.04447" TargetMode="External" /><ns0:Relationship Id="paperLink155" Type="http://schemas.openxmlformats.org/officeDocument/2006/relationships/hyperlink" Target="https://arxiv.org/abs/2603.12553" TargetMode="External" /><ns0:Relationship Id="paperLink156" Type="http://schemas.openxmlformats.org/officeDocument/2006/relationships/hyperlink" Target="https://github.com/unitreerobotics/unifolm-world-model-action" TargetMode="External" /><ns0:Relationship Id="paperLink157" Type="http://schemas.openxmlformats.org/officeDocument/2006/relationships/hyperlink" Target="https://arxiv.org/abs/2605.10942" TargetMode="External" /><ns0:Relationship Id="paperLink158" Type="http://schemas.openxmlformats.org/officeDocument/2006/relationships/hyperlink" Target="https://arxiv.org/abs/2306.03310" TargetMode="External" /><ns0:Relationship Id="paperLink159" Type="http://schemas.openxmlformats.org/officeDocument/2006/relationships/hyperlink" Target="https://arxiv.org/abs/2112.03227" TargetMode="External" /><ns0:Relationship Id="paperLink160" Type="http://schemas.openxmlformats.org/officeDocument/2006/relationships/hyperlink" Target="https://arxiv.org/abs/1909.12271" TargetMode="External" /><ns0:Relationship Id="paperLink161" Type="http://schemas.openxmlformats.org/officeDocument/2006/relationships/hyperlink" Target="https://arxiv.org/abs/2410.00425" TargetMode="External" /><ns0:Relationship Id="paperLink162" Type="http://schemas.openxmlformats.org/officeDocument/2006/relationships/hyperlink" Target="https://arxiv.org/abs/2406.02523" TargetMode="External" /><ns0:Relationship Id="paperLink163" Type="http://schemas.openxmlformats.org/officeDocument/2006/relationships/hyperlink" Target="https://arxiv.org/abs/1910.10897" TargetMode="External" /><ns0:Relationship Id="paperLink164" Type="http://schemas.openxmlformats.org/officeDocument/2006/relationships/hyperlink" Target="https://arxiv.org/abs/2412.18194" TargetMode="External" /><ns0:Relationship Id="paperLink165" Type="http://schemas.openxmlformats.org/officeDocument/2006/relationships/hyperlink" Target="https://arxiv.org/abs/2402.08191" TargetMode="External" /><ns0:Relationship Id="paperLink166" Type="http://schemas.openxmlformats.org/officeDocument/2006/relationships/hyperlink" Target="https://arxiv.org/abs/2305.12821" TargetMode="External" /><ns0:Relationship Id="paperLink167" Type="http://schemas.openxmlformats.org/officeDocument/2006/relationships/hyperlink" Target="https://arxiv.org/abs/2403.09227" TargetMode="External" /><ns0:Relationship Id="paperLink168" Type="http://schemas.openxmlformats.org/officeDocument/2006/relationships/hyperlink" Target="https://arxiv.org/abs/2506.18123" TargetMode="External" /><ns0:Relationship Id="paperLink169" Type="http://schemas.openxmlformats.org/officeDocument/2006/relationships/hyperlink" Target="https://arxiv.org/abs/2308.12952" TargetMode="External" /><ns0:Relationship Id="paperLink170" Type="http://schemas.openxmlformats.org/officeDocument/2006/relationships/hyperlink" Target="https://arxiv.org/abs/2503.06669" TargetMode="External" /><ns0:Relationship Id="paperLink171" Type="http://schemas.openxmlformats.org/officeDocument/2006/relationships/hyperlink" Target="https://arxiv.org/abs/2307.00595" TargetMode="External" /><ns0:Relationship Id="paperLink172" Type="http://schemas.openxmlformats.org/officeDocument/2006/relationships/hyperlink" Target="https://arxiv.org/abs/2412.13877" TargetMode="External" /><ns0:Relationship Id="paperLink173" Type="http://schemas.openxmlformats.org/officeDocument/2006/relationships/hyperlink" Target="https://arxiv.org/abs/2505.09694" TargetMode="External" /><ns0:Relationship Id="paperLink174" Type="http://schemas.openxmlformats.org/officeDocument/2006/relationships/hyperlink" Target="https://arxiv.org/abs/2602.08971" TargetMode="External" /><ns0:Relationship Id="paperLink175" Type="http://schemas.openxmlformats.org/officeDocument/2006/relationships/hyperlink" Target="https://arxiv.org/abs/2605.17912" TargetMode="External" /><ns0:Relationship Id="paperLink176" Type="http://schemas.openxmlformats.org/officeDocument/2006/relationships/hyperlink" Target="https://arxiv.org/abs/2603.28545" TargetMode="External" /><ns0:Relationship Id="paperLink177" Type="http://schemas.openxmlformats.org/officeDocument/2006/relationships/hyperlink" Target="https://arxiv.org/abs/2508.19236" TargetMode="External" /><ns0:Relationship Id="paperLink178" Type="http://schemas.openxmlformats.org/officeDocument/2006/relationships/hyperlink" Target="https://arxiv.org/abs/2505.22159" TargetMode="External" /><ns0:Relationship Id="paperLink179" Type="http://schemas.openxmlformats.org/officeDocument/2006/relationships/hyperlink" Target="https://arxiv.org/abs/2507.09160" TargetMode="External" /><ns0:Relationship Id="paperLink180" Type="http://schemas.openxmlformats.org/officeDocument/2006/relationships/hyperlink" Target="https://www.nature.com/articles/s41586-024-07566-y" TargetMode="External" /><ns0:Relationship Id="paperLink181" Type="http://schemas.openxmlformats.org/officeDocument/2006/relationships/hyperlink" Target="https://github.com/allenai/vla-evaluation-harness/tree/v0.4.0" TargetMode="External" /><ns0:Relationship Id="paperLink182" Type="http://schemas.openxmlformats.org/officeDocument/2006/relationships/hyperlink" Target="https://arxiv.org/abs/2602.22818" TargetMode="External" /><ns0:Relationship Id="paperLink183" Type="http://schemas.openxmlformats.org/officeDocument/2006/relationships/hyperlink" Target="https://arxiv.org/abs/2110.07058" TargetMode="External" /></ns0:Relationships>
</file>

<file path=xl/worksheets/_rels/sheet12.xml.rels><?xml version='1.0' encoding='utf-8'?>
<Relationships xmlns="http://schemas.openxmlformats.org/package/2006/relationships"><Relationship Id="tableCurrentReferences" Type="http://schemas.openxmlformats.org/officeDocument/2006/relationships/table" Target="../tables/table10.xml" /><Relationship Id="currentSource9" Type="http://schemas.openxmlformats.org/officeDocument/2006/relationships/hyperlink" Target="https://arxiv.org/abs/2307.15818" TargetMode="External" /><Relationship Id="currentSource10" Type="http://schemas.openxmlformats.org/officeDocument/2006/relationships/hyperlink" Target="https://arxiv.org/abs/2406.09246" TargetMode="External" /><Relationship Id="currentSource11" Type="http://schemas.openxmlformats.org/officeDocument/2006/relationships/hyperlink" Target="https://arxiv.org/abs/2310.08864" TargetMode="External" /><Relationship Id="currentSource12" Type="http://schemas.openxmlformats.org/officeDocument/2006/relationships/hyperlink" Target="https://arxiv.org/abs/2410.24164" TargetMode="External" /><Relationship Id="currentSource13" Type="http://schemas.openxmlformats.org/officeDocument/2006/relationships/hyperlink" Target="https://arxiv.org/abs/2503.14734" TargetMode="External" /><Relationship Id="currentSource14" Type="http://schemas.openxmlformats.org/officeDocument/2006/relationships/hyperlink" Target="https://arxiv.org/abs/2503.20020" TargetMode="External" /><Relationship Id="currentSource15" Type="http://schemas.openxmlformats.org/officeDocument/2006/relationships/hyperlink" Target="https://arxiv.org/abs/2510.03342" TargetMode="External" /><Relationship Id="currentSource16" Type="http://schemas.openxmlformats.org/officeDocument/2006/relationships/hyperlink" Target="https://arxiv.org/abs/2502.19645" TargetMode="External" /><Relationship Id="currentSource17" Type="http://schemas.openxmlformats.org/officeDocument/2006/relationships/hyperlink" Target="https://arxiv.org/abs/2510.13626" TargetMode="External" /><Relationship Id="currentSource18" Type="http://schemas.openxmlformats.org/officeDocument/2006/relationships/hyperlink" Target="https://arxiv.org/abs/2512.16881" TargetMode="External" /><Relationship Id="currentSource19" Type="http://schemas.openxmlformats.org/officeDocument/2006/relationships/hyperlink" Target="https://arxiv.org/abs/2509.09674" TargetMode="External" /><Relationship Id="currentSource20" Type="http://schemas.openxmlformats.org/officeDocument/2006/relationships/hyperlink" Target="https://arxiv.org/abs/2505.17016" TargetMode="External" /><Relationship Id="currentSource21" Type="http://schemas.openxmlformats.org/officeDocument/2006/relationships/hyperlink" Target="https://arxiv.org/abs/2506.09985" TargetMode="External" /><Relationship Id="currentSource22" Type="http://schemas.openxmlformats.org/officeDocument/2006/relationships/hyperlink" Target="https://arxiv.org/abs/2505.12705" TargetMode="External" /><Relationship Id="currentSource23" Type="http://schemas.openxmlformats.org/officeDocument/2006/relationships/hyperlink" Target="https://arxiv.org/abs/2509.24527" TargetMode="External" /><Relationship Id="currentSource24" Type="http://schemas.openxmlformats.org/officeDocument/2006/relationships/hyperlink" Target="https://arxiv.org/abs/2506.21539" TargetMode="External" /><Relationship Id="currentSource25" Type="http://schemas.openxmlformats.org/officeDocument/2006/relationships/hyperlink" Target="https://arxiv.org/abs/2601.16163" TargetMode="External" /><Relationship Id="currentSource26" Type="http://schemas.openxmlformats.org/officeDocument/2006/relationships/hyperlink" Target="https://arxiv.org/abs/2405.14093" TargetMode="External" /><Relationship Id="currentSource27" Type="http://schemas.openxmlformats.org/officeDocument/2006/relationships/hyperlink" Target="https://arxiv.org/abs/2507.01925" TargetMode="External" /><Relationship Id="currentSource28" Type="http://schemas.openxmlformats.org/officeDocument/2006/relationships/hyperlink" Target="https://arxiv.org/abs/2510.07077" TargetMode="External" /><Relationship Id="currentSource29" Type="http://schemas.openxmlformats.org/officeDocument/2006/relationships/hyperlink" Target="https://doi.org/10.1016/j.inffus.2025.104062" TargetMode="External" /><Relationship Id="currentSource30" Type="http://schemas.openxmlformats.org/officeDocument/2006/relationships/hyperlink" Target="https://arxiv.org/abs/2605.00080" TargetMode="External" /><Relationship Id="currentSource31" Type="http://schemas.openxmlformats.org/officeDocument/2006/relationships/hyperlink" Target="https://arxiv.org/abs/2510.16732" TargetMode="External" /><Relationship Id="currentSource32" Type="http://schemas.openxmlformats.org/officeDocument/2006/relationships/hyperlink" Target="https://arxiv.org/abs/2606.00113" TargetMode="External" /><Relationship Id="currentSource33" Type="http://schemas.openxmlformats.org/officeDocument/2006/relationships/hyperlink" Target="https://arxiv.org/abs/2605.12090" TargetMode="External" /><Relationship Id="currentSource34" Type="http://schemas.openxmlformats.org/officeDocument/2006/relationships/hyperlink" Target="https://arxiv.org/abs/2606.20781" TargetMode="External" /><Relationship Id="currentSource35" Type="http://schemas.openxmlformats.org/officeDocument/2006/relationships/hyperlink" Target="https://arxiv.org/abs/2505.04769" TargetMode="External" /><Relationship Id="currentSource36" Type="http://schemas.openxmlformats.org/officeDocument/2006/relationships/hyperlink" Target="https://arxiv.org/abs/2508.13073" TargetMode="External" /><Relationship Id="currentSource37" Type="http://schemas.openxmlformats.org/officeDocument/2006/relationships/hyperlink" Target="https://arxiv.org/abs/2510.24795" TargetMode="External" /><Relationship Id="currentSource38" Type="http://schemas.openxmlformats.org/officeDocument/2006/relationships/hyperlink" Target="https://doi.org/10.36227/techrxiv.176531955.54563920/v1" TargetMode="External" /><Relationship Id="currentSource39" Type="http://schemas.openxmlformats.org/officeDocument/2006/relationships/hyperlink" Target="https://arxiv.org/abs/2509.20021" TargetMode="External" /><Relationship Id="currentSource40" Type="http://schemas.openxmlformats.org/officeDocument/2006/relationships/hyperlink" Target="https://arxiv.org/abs/2503.03464" TargetMode="External" /><Relationship Id="currentSource41" Type="http://schemas.openxmlformats.org/officeDocument/2006/relationships/hyperlink" Target="https://doi.org/10.1145/3746449" TargetMode="External" /><Relationship Id="currentSource42" Type="http://schemas.openxmlformats.org/officeDocument/2006/relationships/hyperlink" Target="https://arxiv.org/abs/2511.02097" TargetMode="External" /><Relationship Id="currentSource43" Type="http://schemas.openxmlformats.org/officeDocument/2006/relationships/hyperlink" Target="https://openaccess.thecvf.com/content/ICCV2025W/WDFM-AD/html/Jiang_A_Survey_on_Vision-Language-Action_Models_for_Autonomous_Driving_ICCVW_2025_paper.html" TargetMode="External" /><Relationship Id="currentSource44" Type="http://schemas.openxmlformats.org/officeDocument/2006/relationships/hyperlink" Target="https://arxiv.org/abs/2509.19012" TargetMode="External" /><Relationship Id="currentSource45" Type="http://schemas.openxmlformats.org/officeDocument/2006/relationships/hyperlink" Target="https://doi.org/10.1136/bmj.n71" TargetMode="External" /><Relationship Id="currentSource46" Type="http://schemas.openxmlformats.org/officeDocument/2006/relationships/hyperlink" Target="https://arxiv.org/abs/2212.06817" TargetMode="External" /><Relationship Id="currentSource47" Type="http://schemas.openxmlformats.org/officeDocument/2006/relationships/hyperlink" Target="https://arxiv.org/abs/2210.03094" TargetMode="External" /><Relationship Id="currentSource48" Type="http://schemas.openxmlformats.org/officeDocument/2006/relationships/hyperlink" Target="https://arxiv.org/abs/2311.01378" TargetMode="External" /><Relationship Id="currentSource49" Type="http://schemas.openxmlformats.org/officeDocument/2006/relationships/hyperlink" Target="https://arxiv.org/abs/2406.11815" TargetMode="External" /><Relationship Id="currentSource50" Type="http://schemas.openxmlformats.org/officeDocument/2006/relationships/hyperlink" Target="https://arxiv.org/abs/2410.11758" TargetMode="External" /><Relationship Id="currentSource51" Type="http://schemas.openxmlformats.org/officeDocument/2006/relationships/hyperlink" Target="https://arxiv.org/abs/2501.09747" TargetMode="External" /><Relationship Id="currentSource52" Type="http://schemas.openxmlformats.org/officeDocument/2006/relationships/hyperlink" Target="https://arxiv.org/abs/2508.20072" TargetMode="External" /><Relationship Id="currentSource53" Type="http://schemas.openxmlformats.org/officeDocument/2006/relationships/hyperlink" Target="https://arxiv.org/abs/2405.12213" TargetMode="External" /><Relationship Id="currentSource54" Type="http://schemas.openxmlformats.org/officeDocument/2006/relationships/hyperlink" Target="https://arxiv.org/abs/2410.07864" TargetMode="External" /><Relationship Id="currentSource55" Type="http://schemas.openxmlformats.org/officeDocument/2006/relationships/hyperlink" Target="https://arxiv.org/abs/2411.19650" TargetMode="External" /><Relationship Id="currentSource56" Type="http://schemas.openxmlformats.org/officeDocument/2006/relationships/hyperlink" Target="https://arxiv.org/abs/2502.05855" TargetMode="External" /><Relationship Id="currentSource57" Type="http://schemas.openxmlformats.org/officeDocument/2006/relationships/hyperlink" Target="https://arxiv.org/abs/2304.13705" TargetMode="External" /><Relationship Id="currentSource58" Type="http://schemas.openxmlformats.org/officeDocument/2006/relationships/hyperlink" Target="https://arxiv.org/abs/2401.02117" TargetMode="External" /><Relationship Id="currentSource59" Type="http://schemas.openxmlformats.org/officeDocument/2006/relationships/hyperlink" Target="https://arxiv.org/abs/2303.04137" TargetMode="External" /><Relationship Id="currentSource60" Type="http://schemas.openxmlformats.org/officeDocument/2006/relationships/hyperlink" Target="https://arxiv.org/abs/2504.16054" TargetMode="External" /><Relationship Id="currentSource61" Type="http://schemas.openxmlformats.org/officeDocument/2006/relationships/hyperlink" Target="https://www.figure.ai/news/helix" TargetMode="External" /><Relationship Id="currentSource62" Type="http://schemas.openxmlformats.org/officeDocument/2006/relationships/hyperlink" Target="https://arxiv.org/abs/2204.01691" TargetMode="External" /><Relationship Id="currentSource63" Type="http://schemas.openxmlformats.org/officeDocument/2006/relationships/hyperlink" Target="https://arxiv.org/abs/2303.03378" TargetMode="External" /><Relationship Id="currentSource64" Type="http://schemas.openxmlformats.org/officeDocument/2006/relationships/hyperlink" Target="https://arxiv.org/abs/2403.01823" TargetMode="External" /><Relationship Id="currentSource65" Type="http://schemas.openxmlformats.org/officeDocument/2006/relationships/hyperlink" Target="https://arxiv.org/abs/2209.07753" TargetMode="External" /><Relationship Id="currentSource66" Type="http://schemas.openxmlformats.org/officeDocument/2006/relationships/hyperlink" Target="https://arxiv.org/abs/2307.05973" TargetMode="External" /><Relationship Id="currentSource67" Type="http://schemas.openxmlformats.org/officeDocument/2006/relationships/hyperlink" Target="https://arxiv.org/abs/2502.19417" TargetMode="External" /><Relationship Id="currentSource68" Type="http://schemas.openxmlformats.org/officeDocument/2006/relationships/hyperlink" Target="https://arxiv.org/abs/2407.08693" TargetMode="External" /><Relationship Id="currentSource69" Type="http://schemas.openxmlformats.org/officeDocument/2006/relationships/hyperlink" Target="https://arxiv.org/abs/2505.11917" TargetMode="External" /><Relationship Id="currentSource70" Type="http://schemas.openxmlformats.org/officeDocument/2006/relationships/hyperlink" Target="https://arxiv.org/abs/2506.10826" TargetMode="External" /><Relationship Id="currentSource71" Type="http://schemas.openxmlformats.org/officeDocument/2006/relationships/hyperlink" Target="https://arxiv.org/abs/2409.01652" TargetMode="External" /><Relationship Id="currentSource72" Type="http://schemas.openxmlformats.org/officeDocument/2006/relationships/hyperlink" Target="https://arxiv.org/abs/2403.03174" TargetMode="External" /><Relationship Id="currentSource73" Type="http://schemas.openxmlformats.org/officeDocument/2006/relationships/hyperlink" Target="https://arxiv.org/abs/2503.22020" TargetMode="External" /><Relationship Id="currentSource74" Type="http://schemas.openxmlformats.org/officeDocument/2006/relationships/hyperlink" Target="https://arxiv.org/abs/2412.07493v1" TargetMode="External" /><Relationship Id="currentSource75" Type="http://schemas.openxmlformats.org/officeDocument/2006/relationships/hyperlink" Target="https://arxiv.org/abs/2209.05451" TargetMode="External" /><Relationship Id="currentSource76" Type="http://schemas.openxmlformats.org/officeDocument/2006/relationships/hyperlink" Target="https://arxiv.org/abs/2306.14896" TargetMode="External" /><Relationship Id="currentSource77" Type="http://schemas.openxmlformats.org/officeDocument/2006/relationships/hyperlink" Target="https://arxiv.org/abs/2406.08545" TargetMode="External" /><Relationship Id="currentSource78" Type="http://schemas.openxmlformats.org/officeDocument/2006/relationships/hyperlink" Target="https://arxiv.org/abs/2306.17817" TargetMode="External" /><Relationship Id="currentSource79" Type="http://schemas.openxmlformats.org/officeDocument/2006/relationships/hyperlink" Target="https://arxiv.org/abs/2403.09631" TargetMode="External" /><Relationship Id="currentSource80" Type="http://schemas.openxmlformats.org/officeDocument/2006/relationships/hyperlink" Target="https://arxiv.org/abs/2501.15830" TargetMode="External" /><Relationship Id="currentSource81" Type="http://schemas.openxmlformats.org/officeDocument/2006/relationships/hyperlink" Target="https://arxiv.org/abs/2503.07511" TargetMode="External" /><Relationship Id="currentSource82" Type="http://schemas.openxmlformats.org/officeDocument/2006/relationships/hyperlink" Target="https://arxiv.org/abs/2411.18623" TargetMode="External" /><Relationship Id="currentSource83" Type="http://schemas.openxmlformats.org/officeDocument/2006/relationships/hyperlink" Target="https://arxiv.org/abs/2503.08950" TargetMode="External" /><Relationship Id="currentSource84" Type="http://schemas.openxmlformats.org/officeDocument/2006/relationships/hyperlink" Target="https://arxiv.org/abs/2506.07961" TargetMode="External" /><Relationship Id="currentSource85" Type="http://schemas.openxmlformats.org/officeDocument/2006/relationships/hyperlink" Target="https://arxiv.org/abs/2505.03233" TargetMode="External" /><Relationship Id="currentSource86" Type="http://schemas.openxmlformats.org/officeDocument/2006/relationships/hyperlink" Target="https://arxiv.org/abs/2508.09071" TargetMode="External" /><Relationship Id="currentSource87" Type="http://schemas.openxmlformats.org/officeDocument/2006/relationships/hyperlink" Target="https://arxiv.org/abs/2505.05800" TargetMode="External" /><Relationship Id="currentSource88" Type="http://schemas.openxmlformats.org/officeDocument/2006/relationships/hyperlink" Target="https://arxiv.org/abs/2501.16664" TargetMode="External" /><Relationship Id="currentSource89" Type="http://schemas.openxmlformats.org/officeDocument/2006/relationships/hyperlink" Target="https://arxiv.org/abs/2411.19309" TargetMode="External" /><Relationship Id="currentSource90" Type="http://schemas.openxmlformats.org/officeDocument/2006/relationships/hyperlink" Target="https://arxiv.org/abs/2412.09858" TargetMode="External" /><Relationship Id="currentSource91" Type="http://schemas.openxmlformats.org/officeDocument/2006/relationships/hyperlink" Target="https://arxiv.org/abs/2502.05450" TargetMode="External" /><Relationship Id="currentSource92" Type="http://schemas.openxmlformats.org/officeDocument/2006/relationships/hyperlink" Target="https://arxiv.org/abs/2505.18719" TargetMode="External" /><Relationship Id="currentSource93" Type="http://schemas.openxmlformats.org/officeDocument/2006/relationships/hyperlink" Target="https://arxiv.org/abs/2409.16578" TargetMode="External" /><Relationship Id="currentSource94" Type="http://schemas.openxmlformats.org/officeDocument/2006/relationships/hyperlink" Target="https://arxiv.org/abs/2409.12514" TargetMode="External" /><Relationship Id="currentSource95" Type="http://schemas.openxmlformats.org/officeDocument/2006/relationships/hyperlink" Target="https://arxiv.org/abs/2506.01844" TargetMode="External" /><Relationship Id="currentSource96" Type="http://schemas.openxmlformats.org/officeDocument/2006/relationships/hyperlink" Target="https://arxiv.org/abs/2507.14049" TargetMode="External" /><Relationship Id="currentSource97" Type="http://schemas.openxmlformats.org/officeDocument/2006/relationships/hyperlink" Target="https://arxiv.org/abs/2406.04339" TargetMode="External" /><Relationship Id="currentSource98" Type="http://schemas.openxmlformats.org/officeDocument/2006/relationships/hyperlink" Target="https://arxiv.org/abs/2506.07530" TargetMode="External" /><Relationship Id="currentSource99" Type="http://schemas.openxmlformats.org/officeDocument/2006/relationships/hyperlink" Target="https://arxiv.org/abs/2502.02175" TargetMode="External" /><Relationship Id="currentSource100" Type="http://schemas.openxmlformats.org/officeDocument/2006/relationships/hyperlink" Target="https://arxiv.org/abs/2506.10100" TargetMode="External" /><Relationship Id="currentSource101" Type="http://schemas.openxmlformats.org/officeDocument/2006/relationships/hyperlink" Target="https://arxiv.org/abs/2503.02310" TargetMode="External" /><Relationship Id="currentSource102" Type="http://schemas.openxmlformats.org/officeDocument/2006/relationships/hyperlink" Target="https://arxiv.org/abs/2506.13725" TargetMode="External" /><Relationship Id="currentSource103" Type="http://schemas.openxmlformats.org/officeDocument/2006/relationships/hyperlink" Target="https://arxiv.org/abs/2411.02359" TargetMode="External" /><Relationship Id="currentSource104" Type="http://schemas.openxmlformats.org/officeDocument/2006/relationships/hyperlink" Target="https://deepmind.google/blog/gemini-robotics-on-device-brings-ai-to-local-robotic-devices/" TargetMode="External" /><Relationship Id="currentSource105" Type="http://schemas.openxmlformats.org/officeDocument/2006/relationships/hyperlink" Target="https://arxiv.org/abs/2506.04217" TargetMode="External" /><Relationship Id="currentSource106" Type="http://schemas.openxmlformats.org/officeDocument/2006/relationships/hyperlink" Target="https://arxiv.org/abs/2401.12202" TargetMode="External" /><Relationship Id="currentSource107" Type="http://schemas.openxmlformats.org/officeDocument/2006/relationships/hyperlink" Target="https://arxiv.org/abs/2508.19958" TargetMode="External" /><Relationship Id="currentSource108" Type="http://schemas.openxmlformats.org/officeDocument/2006/relationships/hyperlink" Target="https://arxiv.org/abs/2506.00411" TargetMode="External" /><Relationship Id="currentSource109" Type="http://schemas.openxmlformats.org/officeDocument/2006/relationships/hyperlink" Target="https://research.nvidia.com/labs/gear/gr00t-n1_5/" TargetMode="External" /><Relationship Id="currentSource110" Type="http://schemas.openxmlformats.org/officeDocument/2006/relationships/hyperlink" Target="https://huggingface.co/nvidia/GR00T-N1.7-3B" TargetMode="External" /><Relationship Id="currentSource111" Type="http://schemas.openxmlformats.org/officeDocument/2006/relationships/hyperlink" Target="https://arxiv.org/abs/2604.15483" TargetMode="External" /><Relationship Id="currentSource112" Type="http://schemas.openxmlformats.org/officeDocument/2006/relationships/hyperlink" Target="https://arxiv.org/abs/2607.06403" TargetMode="External" /><Relationship Id="currentSource113" Type="http://schemas.openxmlformats.org/officeDocument/2006/relationships/hyperlink" Target="https://arxiv.org/abs/2410.06158" TargetMode="External" /><Relationship Id="currentSource114" Type="http://schemas.openxmlformats.org/officeDocument/2006/relationships/hyperlink" Target="https://www.figure.ai/news/helix-02" TargetMode="External" /><Relationship Id="currentSource115" Type="http://schemas.openxmlformats.org/officeDocument/2006/relationships/hyperlink" Target="https://proceedings.mlr.press/v15/ross11a/ross11a.pdf" TargetMode="External" /><Relationship Id="currentSource116" Type="http://schemas.openxmlformats.org/officeDocument/2006/relationships/hyperlink" Target="https://arxiv.org/abs/2403.12945" TargetMode="External" /><Relationship Id="currentSource117" Type="http://schemas.openxmlformats.org/officeDocument/2006/relationships/hyperlink" Target="https://arxiv.org/abs/2501.03575" TargetMode="External" /><Relationship Id="currentSource118" Type="http://schemas.openxmlformats.org/officeDocument/2006/relationships/hyperlink" Target="https://arxiv.org/abs/2501.09038" TargetMode="External" /><Relationship Id="currentSource119" Type="http://schemas.openxmlformats.org/officeDocument/2006/relationships/hyperlink" Target="https://arxiv.org/abs/2502.20694" TargetMode="External" /><Relationship Id="currentSource120" Type="http://schemas.openxmlformats.org/officeDocument/2006/relationships/hyperlink" Target="https://arxiv.org/abs/2503.21755" TargetMode="External" /><Relationship Id="currentSource121" Type="http://schemas.openxmlformats.org/officeDocument/2006/relationships/hyperlink" Target="https://arxiv.org/abs/2405.05941" TargetMode="External" /><Relationship Id="currentSource122" Type="http://schemas.openxmlformats.org/officeDocument/2006/relationships/hyperlink" Target="https://arxiv.org/abs/2606.23686" TargetMode="External" /><Relationship Id="currentSource123" Type="http://schemas.openxmlformats.org/officeDocument/2006/relationships/hyperlink" Target="https://arxiv.org/abs/2307.01928" TargetMode="External" /><Relationship Id="currentSource124" Type="http://schemas.openxmlformats.org/officeDocument/2006/relationships/hyperlink" Target="https://arxiv.org/abs/1903.11199" TargetMode="External" /><Relationship Id="currentSource125" Type="http://schemas.openxmlformats.org/officeDocument/2006/relationships/hyperlink" Target="https://arxiv.org/abs/1709.07523" TargetMode="External" /><Relationship Id="currentSource126" Type="http://schemas.openxmlformats.org/officeDocument/2006/relationships/hyperlink" Target="https://arxiv.org/abs/1803.10122" TargetMode="External" /><Relationship Id="currentSource127" Type="http://schemas.openxmlformats.org/officeDocument/2006/relationships/hyperlink" Target="https://arxiv.org/abs/1811.04551" TargetMode="External" /><Relationship Id="currentSource128" Type="http://schemas.openxmlformats.org/officeDocument/2006/relationships/hyperlink" Target="https://arxiv.org/abs/2301.04104" TargetMode="External" /><Relationship Id="currentSource129" Type="http://schemas.openxmlformats.org/officeDocument/2006/relationships/hyperlink" Target="https://arxiv.org/abs/1911.08265" TargetMode="External" /><Relationship Id="currentSource130" Type="http://schemas.openxmlformats.org/officeDocument/2006/relationships/hyperlink" Target="https://arxiv.org/abs/2310.16828" TargetMode="External" /><Relationship Id="currentSource131" Type="http://schemas.openxmlformats.org/officeDocument/2006/relationships/hyperlink" Target="https://arxiv.org/abs/2302.00111" TargetMode="External" /><Relationship Id="currentSource132" Type="http://schemas.openxmlformats.org/officeDocument/2006/relationships/hyperlink" Target="https://arxiv.org/abs/2310.06114" TargetMode="External" /><Relationship Id="currentSource133" Type="http://schemas.openxmlformats.org/officeDocument/2006/relationships/hyperlink" Target="https://arxiv.org/abs/2310.08576" TargetMode="External" /><Relationship Id="currentSource134" Type="http://schemas.openxmlformats.org/officeDocument/2006/relationships/hyperlink" Target="https://arxiv.org/abs/2310.10639" TargetMode="External" /><Relationship Id="currentSource135" Type="http://schemas.openxmlformats.org/officeDocument/2006/relationships/hyperlink" Target="https://arxiv.org/abs/2310.10625" TargetMode="External" /><Relationship Id="currentSource136" Type="http://schemas.openxmlformats.org/officeDocument/2006/relationships/hyperlink" Target="https://arxiv.org/abs/2405.15223" TargetMode="External" /><Relationship Id="currentSource137" Type="http://schemas.openxmlformats.org/officeDocument/2006/relationships/hyperlink" Target="https://arxiv.org/abs/2312.13139" TargetMode="External" /><Relationship Id="currentSource138" Type="http://schemas.openxmlformats.org/officeDocument/2006/relationships/hyperlink" Target="https://arxiv.org/abs/2402.15391" TargetMode="External" /><Relationship Id="currentSource139" Type="http://schemas.openxmlformats.org/officeDocument/2006/relationships/hyperlink" Target="https://deepmind.google/blog/genie-3-a-new-frontier-for-world-models/" TargetMode="External" /><Relationship Id="currentSource140" Type="http://schemas.openxmlformats.org/officeDocument/2006/relationships/hyperlink" Target="https://arxiv.org/abs/2508.05635" TargetMode="External" /><Relationship Id="currentSource141" Type="http://schemas.openxmlformats.org/officeDocument/2006/relationships/hyperlink" Target="https://arxiv.org/abs/2301.08243" TargetMode="External" /><Relationship Id="currentSource142" Type="http://schemas.openxmlformats.org/officeDocument/2006/relationships/hyperlink" Target="https://arxiv.org/abs/2404.08471" TargetMode="External" /><Relationship Id="currentSource143" Type="http://schemas.openxmlformats.org/officeDocument/2006/relationships/hyperlink" Target="https://arxiv.org/abs/2411.04983" TargetMode="External" /><Relationship Id="currentSource144" Type="http://schemas.openxmlformats.org/officeDocument/2006/relationships/hyperlink" Target="https://arxiv.org/abs/2606.15768" TargetMode="External" /><Relationship Id="currentSource145" Type="http://schemas.openxmlformats.org/officeDocument/2006/relationships/hyperlink" Target="https://arxiv.org/abs/2602.10098" TargetMode="External" /><Relationship Id="currentSource146" Type="http://schemas.openxmlformats.org/officeDocument/2006/relationships/hyperlink" Target="https://arxiv.org/abs/2504.20995" TargetMode="External" /><Relationship Id="currentSource147" Type="http://schemas.openxmlformats.org/officeDocument/2006/relationships/hyperlink" Target="https://arxiv.org/abs/2508.17600" TargetMode="External" /><Relationship Id="currentSource148" Type="http://schemas.openxmlformats.org/officeDocument/2006/relationships/hyperlink" Target="https://arxiv.org/abs/2403.08321" TargetMode="External" /><Relationship Id="currentSource149" Type="http://schemas.openxmlformats.org/officeDocument/2006/relationships/hyperlink" Target="https://arxiv.org/abs/2404.13026" TargetMode="External" /><Relationship Id="currentSource150" Type="http://schemas.openxmlformats.org/officeDocument/2006/relationships/hyperlink" Target="https://arxiv.org/abs/2606.26663" TargetMode="External" /><Relationship Id="currentSource151" Type="http://schemas.openxmlformats.org/officeDocument/2006/relationships/hyperlink" Target="https://arxiv.org/abs/2607.07287" TargetMode="External" /><Relationship Id="currentSource152" Type="http://schemas.openxmlformats.org/officeDocument/2006/relationships/hyperlink" Target="https://arxiv.org/abs/2310.17596" TargetMode="External" /><Relationship Id="currentSource153" Type="http://schemas.openxmlformats.org/officeDocument/2006/relationships/hyperlink" Target="https://arxiv.org/abs/2410.24185" TargetMode="External" /><Relationship Id="currentSource154" Type="http://schemas.openxmlformats.org/officeDocument/2006/relationships/hyperlink" Target="https://arxiv.org/abs/2505.19017" TargetMode="External" /><Relationship Id="currentSource155" Type="http://schemas.openxmlformats.org/officeDocument/2006/relationships/hyperlink" Target="https://arxiv.org/abs/2602.02454" TargetMode="External" /><Relationship Id="currentSource156" Type="http://schemas.openxmlformats.org/officeDocument/2006/relationships/hyperlink" Target="https://arxiv.org/abs/2505.15659" TargetMode="External" /><Relationship Id="currentSource157" Type="http://schemas.openxmlformats.org/officeDocument/2006/relationships/hyperlink" Target="https://arxiv.org/abs/2507.04447" TargetMode="External" /><Relationship Id="currentSource158" Type="http://schemas.openxmlformats.org/officeDocument/2006/relationships/hyperlink" Target="https://arxiv.org/abs/2603.12553" TargetMode="External" /><Relationship Id="currentSource159" Type="http://schemas.openxmlformats.org/officeDocument/2006/relationships/hyperlink" Target="https://github.com/unitreerobotics/unifolm-world-model-action" TargetMode="External" /><Relationship Id="currentSource160" Type="http://schemas.openxmlformats.org/officeDocument/2006/relationships/hyperlink" Target="https://arxiv.org/abs/2602.06949" TargetMode="External" /><Relationship Id="currentSource161" Type="http://schemas.openxmlformats.org/officeDocument/2006/relationships/hyperlink" Target="https://arxiv.org/abs/2602.15922" TargetMode="External" /><Relationship Id="currentSource162" Type="http://schemas.openxmlformats.org/officeDocument/2006/relationships/hyperlink" Target="https://arxiv.org/abs/2605.10942" TargetMode="External" /><Relationship Id="currentSource163" Type="http://schemas.openxmlformats.org/officeDocument/2006/relationships/hyperlink" Target="https://arxiv.org/abs/2306.03310" TargetMode="External" /><Relationship Id="currentSource164" Type="http://schemas.openxmlformats.org/officeDocument/2006/relationships/hyperlink" Target="https://arxiv.org/abs/2112.03227" TargetMode="External" /><Relationship Id="currentSource165" Type="http://schemas.openxmlformats.org/officeDocument/2006/relationships/hyperlink" Target="https://arxiv.org/abs/1909.12271" TargetMode="External" /><Relationship Id="currentSource166" Type="http://schemas.openxmlformats.org/officeDocument/2006/relationships/hyperlink" Target="https://arxiv.org/abs/2410.00425" TargetMode="External" /><Relationship Id="currentSource167" Type="http://schemas.openxmlformats.org/officeDocument/2006/relationships/hyperlink" Target="https://arxiv.org/abs/2406.02523" TargetMode="External" /><Relationship Id="currentSource168" Type="http://schemas.openxmlformats.org/officeDocument/2006/relationships/hyperlink" Target="https://arxiv.org/abs/1910.10897" TargetMode="External" /><Relationship Id="currentSource169" Type="http://schemas.openxmlformats.org/officeDocument/2006/relationships/hyperlink" Target="https://arxiv.org/abs/2412.18194" TargetMode="External" /><Relationship Id="currentSource170" Type="http://schemas.openxmlformats.org/officeDocument/2006/relationships/hyperlink" Target="https://arxiv.org/abs/2402.08191" TargetMode="External" /><Relationship Id="currentSource171" Type="http://schemas.openxmlformats.org/officeDocument/2006/relationships/hyperlink" Target="https://arxiv.org/abs/2305.12821" TargetMode="External" /><Relationship Id="currentSource172" Type="http://schemas.openxmlformats.org/officeDocument/2006/relationships/hyperlink" Target="https://arxiv.org/abs/2403.09227" TargetMode="External" /><Relationship Id="currentSource173" Type="http://schemas.openxmlformats.org/officeDocument/2006/relationships/hyperlink" Target="https://arxiv.org/abs/2506.18123" TargetMode="External" /><Relationship Id="currentSource174" Type="http://schemas.openxmlformats.org/officeDocument/2006/relationships/hyperlink" Target="https://arxiv.org/abs/2308.12952" TargetMode="External" /><Relationship Id="currentSource175" Type="http://schemas.openxmlformats.org/officeDocument/2006/relationships/hyperlink" Target="https://arxiv.org/abs/2503.06669" TargetMode="External" /><Relationship Id="currentSource176" Type="http://schemas.openxmlformats.org/officeDocument/2006/relationships/hyperlink" Target="https://arxiv.org/abs/2307.00595" TargetMode="External" /><Relationship Id="currentSource177" Type="http://schemas.openxmlformats.org/officeDocument/2006/relationships/hyperlink" Target="https://arxiv.org/abs/2412.13877" TargetMode="External" /><Relationship Id="currentSource178" Type="http://schemas.openxmlformats.org/officeDocument/2006/relationships/hyperlink" Target="https://arxiv.org/abs/2602.08971" TargetMode="External" /><Relationship Id="currentSource179" Type="http://schemas.openxmlformats.org/officeDocument/2006/relationships/hyperlink" Target="https://arxiv.org/abs/2605.17912" TargetMode="External" /><Relationship Id="currentSource180" Type="http://schemas.openxmlformats.org/officeDocument/2006/relationships/hyperlink" Target="https://arxiv.org/abs/2603.28545" TargetMode="External" /><Relationship Id="currentSource181" Type="http://schemas.openxmlformats.org/officeDocument/2006/relationships/hyperlink" Target="https://arxiv.org/abs/2508.19236" TargetMode="External" /><Relationship Id="currentSource182" Type="http://schemas.openxmlformats.org/officeDocument/2006/relationships/hyperlink" Target="https://arxiv.org/abs/2505.22159" TargetMode="External" /><Relationship Id="currentSource183" Type="http://schemas.openxmlformats.org/officeDocument/2006/relationships/hyperlink" Target="https://arxiv.org/abs/2507.09160" TargetMode="External" /><Relationship Id="currentSource184" Type="http://schemas.openxmlformats.org/officeDocument/2006/relationships/hyperlink" Target="https://www.nature.com/articles/s41586-024-07566-y" TargetMode="External" /><Relationship Id="currentSource185" Type="http://schemas.openxmlformats.org/officeDocument/2006/relationships/hyperlink" Target="https://github.com/allenai/vla-evaluation-harness/tree/v0.4.0" TargetMode="External" /><Relationship Id="currentSource186" Type="http://schemas.openxmlformats.org/officeDocument/2006/relationships/hyperlink" Target="https://arxiv.org/abs/2602.22818" TargetMode="External" /><Relationship Id="currentSource187" Type="http://schemas.openxmlformats.org/officeDocument/2006/relationships/hyperlink" Target="https://arxiv.org/abs/2110.07058" TargetMode="External" /></Relationships>
</file>

<file path=xl/worksheets/sheet1.xml><?xml version="1.0" encoding="utf-8"?>
<x:worksheet xmlns:x="http://schemas.openxmlformats.org/spreadsheetml/2006/main">
  <x:sheetViews>
    <x:sheetView showGridLines="0" workbookViewId="0"/>
  </x:sheetViews>
  <x:sheetFormatPr defaultRowHeight="15"/>
  <x:cols>
    <x:col min="1" max="1" width="26.110000610351562" hidden="0" customWidth="1"/>
    <x:col min="2" max="2" width="68.88999938964844" hidden="0" customWidth="1"/>
    <x:col min="3" max="3" width="9.4399995803833" hidden="0" customWidth="1"/>
    <x:col min="4" max="4" width="9.4399995803833" hidden="0" customWidth="1"/>
    <x:col min="5" max="5" width="9.4399995803833" hidden="0" customWidth="1"/>
    <x:col min="6" max="6" width="9.4399995803833" hidden="0" customWidth="1"/>
    <x:col min="7" max="7" width="9.4399995803833" hidden="0" customWidth="1"/>
    <x:col min="8" max="8" width="9.4399995803833" hidden="0" customWidth="1"/>
  </x:cols>
  <x:sheetData>
    <x:row r="1" ht="28.5" customHeight="1">
      <x:c r="A1" s="3" t="str">
        <x:v>Verified-only CSV audit, figures, and source data</x:v>
      </x:c>
      <x:c r="B1" s="3"/>
      <x:c r="C1" s="3"/>
      <x:c r="D1" s="3"/>
      <x:c r="E1" s="3"/>
      <x:c r="F1" s="3"/>
      <x:c r="G1" s="3"/>
      <x:c r="H1" s="3"/>
    </x:row>
    <x:row r="3">
      <x:c r="A3" s="10" t="str">
        <x:v>Metric</x:v>
      </x:c>
      <x:c r="B3" s="10" t="str">
        <x:v>Value</x:v>
      </x:c>
    </x:row>
    <x:row r="4">
      <x:c r="A4" s="11" t="str">
        <x:v>Submitted CSV rows audited</x:v>
      </x:c>
      <x:c r="B4" s="12" t="n">
        <x:f>SUM('Audit Summary'!B2:B4)</x:f>
        <x:v>147</x:v>
      </x:c>
    </x:row>
    <x:row r="5">
      <x:c r="A5" s="11" t="str">
        <x:v>Input rows retained or corrected</x:v>
      </x:c>
      <x:c r="B5" s="12" t="n">
        <x:f>SUM('Audit Summary'!C2:C4)</x:f>
        <x:v>6</x:v>
      </x:c>
    </x:row>
    <x:row r="6">
      <x:c r="A6" s="11" t="str">
        <x:v>Input rows excluded</x:v>
      </x:c>
      <x:c r="B6" s="12" t="n">
        <x:f>SUM('Audit Summary'!D2:D4)</x:f>
        <x:v>141</x:v>
      </x:c>
    </x:row>
    <x:row r="7">
      <x:c r="A7" s="11" t="str">
        <x:v>Verified data-scale output records</x:v>
      </x:c>
      <x:c r="B7" s="12" t="n">
        <x:f>COUNTA('Verified Data Scale'!A2:A8)</x:f>
        <x:v>7</x:v>
      </x:c>
    </x:row>
    <x:row r="8">
      <x:c r="A8" s="11" t="str">
        <x:v>Verified real-robot task records</x:v>
      </x:c>
      <x:c r="B8" s="12" t="n">
        <x:f>COUNTA('World-Gymnast'!A2:A5)</x:f>
        <x:v>4</x:v>
      </x:c>
    </x:row>
    <x:row r="9">
      <x:c r="A9" s="11" t="str">
        <x:v>Submitted columns assessed</x:v>
      </x:c>
      <x:c r="B9" s="12" t="n">
        <x:f>COUNTA('Column Decisions'!A2:A52)</x:f>
        <x:v>51</x:v>
      </x:c>
    </x:row>
    <x:row r="11">
      <x:c r="A11" s="20" t="str">
        <x:v>Decision</x:v>
      </x:c>
      <x:c r="B11" s="20" t="str">
        <x:v>Rationale</x:v>
      </x:c>
    </x:row>
    <x:row r="12">
      <x:c r="A12" s="21" t="str">
        <x:v>Exclude corpus_master.csv</x:v>
      </x:c>
      <x:c r="B12" s="22" t="str">
        <x:v>All 106 rows are manuscript-derived and lack row-level primary-source URLs, locators, and field-level verification.</x:v>
      </x:c>
    </x:row>
    <x:row r="13">
      <x:c r="A13" s="21" t="str">
        <x:v>Exclude evidence_edges.csv</x:v>
      </x:c>
      <x:c r="B13" s="22" t="str">
        <x:v>All 34 edges are manuscript-derived; mixed coding semantics and missing source locators prevent publication-authentic use.</x:v>
      </x:c>
    </x:row>
    <x:row r="14">
      <x:c r="A14" s="21" t="str">
        <x:v>Remove RT-1 hours</x:v>
      </x:c>
      <x:c r="B14" s="22" t="str">
        <x:v>The submitted value is an episode-duration assumption, not a source-reported hour measurement.</x:v>
      </x:c>
    </x:row>
    <x:row r="15">
      <x:c r="A15" s="21" t="str">
        <x:v>Correct bound semantics</x:v>
      </x:c>
      <x:c r="B15" s="22" t="str">
        <x:v>Cosmos is approximate; V-JEPA 2 and pi_0 are lower bounds; V-JEPA 2-AC is an upper bound.</x:v>
      </x:c>
    </x:row>
    <x:row r="16">
      <x:c r="A16" s="21" t="str">
        <x:v>Correct Dreamer 4</x:v>
      </x:c>
      <x:c r="B16" s="22" t="str">
        <x:v>Use the exact 2,541-hour VPT pool and represent the 100-hour paired-action condition separately.</x:v>
      </x:c>
    </x:row>
    <x:row r="17">
      <x:c r="A17" s="21" t="str">
        <x:v>Retain two figure families</x:v>
      </x:c>
      <x:c r="B17" s="22" t="str">
        <x:v>Keep the qualified scale plot and the source-reported World-Gymnast real-robot comparison; omit unsupported ranking and evidence-count plots.</x:v>
      </x:c>
    </x:row>
    <x:row r="19">
      <x:c r="A19" s="24" t="str">
        <x:v>Interpretation warning</x:v>
      </x:c>
      <x:c r="B19" s="24"/>
      <x:c r="C19" s="24"/>
      <x:c r="D19" s="24"/>
      <x:c r="E19" s="24"/>
      <x:c r="F19" s="24"/>
      <x:c r="G19" s="24"/>
      <x:c r="H19" s="24"/>
    </x:row>
    <x:row r="20">
      <x:c r="A20" s="19" t="str">
        <x:v>The scale values describe different measurement scopes (raw collections, pretraining pools, released robot data, and experimental subsets). They must not be interpreted as a sample-efficiency leaderboard. Only the fields present in the verified sheets are approved for reuse.</x:v>
      </x:c>
      <x:c r="B20" s="19"/>
      <x:c r="C20" s="19"/>
      <x:c r="D20" s="19"/>
      <x:c r="E20" s="19"/>
      <x:c r="F20" s="19"/>
      <x:c r="G20" s="19"/>
      <x:c r="H20" s="19"/>
    </x:row>
    <x:row r="21">
      <x:c r="A21" s="19"/>
      <x:c r="B21" s="19"/>
      <x:c r="C21" s="19"/>
      <x:c r="D21" s="19"/>
      <x:c r="E21" s="19"/>
      <x:c r="F21" s="19"/>
      <x:c r="G21" s="19"/>
      <x:c r="H21" s="19"/>
    </x:row>
    <x:row r="22">
      <x:c r="A22" s="19"/>
      <x:c r="B22" s="19"/>
      <x:c r="C22" s="19"/>
      <x:c r="D22" s="19"/>
      <x:c r="E22" s="19"/>
      <x:c r="F22" s="19"/>
      <x:c r="G22" s="19"/>
      <x:c r="H22" s="19"/>
    </x:row>
  </x:sheetData>
  <x:mergeCells>
    <x:mergeCell ref="A1:H1"/>
    <x:mergeCell ref="A19:H19"/>
    <x:mergeCell ref="A20: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889999389648438" hidden="0" customWidth="1"/>
    <x:col min="2" max="2" width="14.4399995803833" hidden="0" customWidth="1"/>
    <x:col min="3" max="3" width="14.4399995803833" hidden="0" customWidth="1"/>
    <x:col min="4" max="4" width="14.4399995803833" hidden="0" customWidth="1"/>
    <x:col min="5" max="5" width="14.4399995803833" hidden="0" customWidth="1"/>
    <x:col min="6" max="6" width="55.560001373291016" hidden="0" customWidth="1"/>
    <x:col min="7" max="7" width="16.110000610351562" hidden="0" customWidth="1"/>
    <x:col min="8" max="8" width="16.110000610351562" hidden="0" customWidth="1"/>
  </x:cols>
  <x:sheetData>
    <x:row r="1" ht="31.5" customHeight="1">
      <x:c r="A1" s="28" t="str">
        <x:v>input_file</x:v>
      </x:c>
      <x:c r="B1" s="28" t="str">
        <x:v>input_rows</x:v>
      </x:c>
      <x:c r="C1" s="28" t="str">
        <x:v>retained_or_corrected_input_rows</x:v>
      </x:c>
      <x:c r="D1" s="28" t="str">
        <x:v>excluded_input_rows</x:v>
      </x:c>
      <x:c r="E1" s="28" t="str">
        <x:v>verified_output_rows</x:v>
      </x:c>
      <x:c r="F1" s="28" t="str">
        <x:v>audit_conclusion</x:v>
      </x:c>
      <x:c r="G1" s="28" t="str">
        <x:v>retention_rate (derived)</x:v>
      </x:c>
      <x:c r="H1" s="28" t="str">
        <x:v>reconciliation</x:v>
      </x:c>
    </x:row>
    <x:row r="2">
      <x:c r="A2" s="29" t="str">
        <x:v>corpus_master.csv</x:v>
      </x:c>
      <x:c r="B2" s="30" t="n">
        <x:v>106</x:v>
      </x:c>
      <x:c r="C2" s="30" t="n">
        <x:v>0</x:v>
      </x:c>
      <x:c r="D2" s="30" t="n">
        <x:v>106</x:v>
      </x:c>
      <x:c r="E2" s="30" t="n">
        <x:v>0</x:v>
      </x:c>
      <x:c r="F2" s="29" t="str">
        <x:v>No rows retained because field-level primary-source traceability is absent.</x:v>
      </x:c>
      <x:c r="G2" s="31" t="n">
        <x:f>IF(B2=0,0,C2/B2)</x:f>
        <x:v>0</x:v>
      </x:c>
      <x:c r="H2" s="29" t="str">
        <x:f>IF(B2=C2+D2,"PASS","CHECK")</x:f>
        <x:v>PASS</x:v>
      </x:c>
    </x:row>
    <x:row r="3">
      <x:c r="A3" s="29" t="str">
        <x:v>evidence_edges.csv</x:v>
      </x:c>
      <x:c r="B3" s="30" t="n">
        <x:v>34</x:v>
      </x:c>
      <x:c r="C3" s="30" t="n">
        <x:v>0</x:v>
      </x:c>
      <x:c r="D3" s="30" t="n">
        <x:v>34</x:v>
      </x:c>
      <x:c r="E3" s="30" t="n">
        <x:v>0</x:v>
      </x:c>
      <x:c r="F3" s="29" t="str">
        <x:v>No rows retained because field-level primary-source traceability is absent.</x:v>
      </x:c>
      <x:c r="G3" s="31" t="n">
        <x:f>IF(B3=0,0,C3/B3)</x:f>
        <x:v>0</x:v>
      </x:c>
      <x:c r="H3" s="29" t="str">
        <x:f>IF(B3=C3+D3,"PASS","CHECK")</x:f>
        <x:v>PASS</x:v>
      </x:c>
    </x:row>
    <x:row r="4">
      <x:c r="A4" s="29" t="str">
        <x:v>data_scaling.csv</x:v>
      </x:c>
      <x:c r="B4" s="30" t="n">
        <x:v>7</x:v>
      </x:c>
      <x:c r="C4" s="30" t="n">
        <x:v>6</x:v>
      </x:c>
      <x:c r="D4" s="30" t="n">
        <x:v>1</x:v>
      </x:c>
      <x:c r="E4" s="30" t="n">
        <x:v>7</x:v>
      </x:c>
      <x:c r="F4" s="29" t="str">
        <x:v>Only primary-source-verified scale claims retained; one row split into two claims.</x:v>
      </x:c>
      <x:c r="G4" s="31" t="n">
        <x:f>IF(B4=0,0,C4/B4)</x:f>
        <x:v>0.8571428571428571</x:v>
      </x:c>
      <x:c r="H4" s="29" t="str">
        <x:f>IF(B4=C4+D4,"PASS","CHECK")</x:f>
        <x:v>PASS</x:v>
      </x:c>
    </x:row>
  </x:sheetData>
  <x:pageMargins left="0.7" right="0.7" top="0.75" bottom="0.75" header="0.3" footer="0.3"/>
  <x:tableParts count="1">
    <x:tablePart xmlns:r="http://schemas.openxmlformats.org/officeDocument/2006/relationships" r:id="Rec7c1216363249d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670000076293945" hidden="0" customWidth="1"/>
    <x:col min="2" max="2" width="12.779999732971191" hidden="0" customWidth="1"/>
    <x:col min="3" max="3" width="27.219999313354492" hidden="0" customWidth="1"/>
    <x:col min="4" max="4" width="22.780000686645508" hidden="0" customWidth="1"/>
    <x:col min="5" max="5" width="12.779999732971191" hidden="0" customWidth="1"/>
    <x:col min="6" max="6" width="12.779999732971191" hidden="0" customWidth="1"/>
    <x:col min="7" max="7" width="19.440000534057617" hidden="0" customWidth="1"/>
    <x:col min="8" max="8" width="19.440000534057617" hidden="0" customWidth="1"/>
    <x:col min="9" max="9" width="30" hidden="0" customWidth="1"/>
    <x:col min="10" max="10" width="16.670000076293945" hidden="0" customWidth="1"/>
    <x:col min="11" max="11" width="16.670000076293945" hidden="0" customWidth="1"/>
    <x:col min="12" max="12" width="15.5600004196167" hidden="0" customWidth="1"/>
  </x:cols>
  <x:sheetData>
    <x:row r="1" ht="31.5" customHeight="1">
      <x:c r="A1" s="28" t="str">
        <x:v>record_id</x:v>
      </x:c>
      <x:c r="B1" s="28" t="str">
        <x:v>system</x:v>
      </x:c>
      <x:c r="C1" s="28" t="str">
        <x:v>measurement_scope</x:v>
      </x:c>
      <x:c r="D1" s="28" t="str">
        <x:v>data_role</x:v>
      </x:c>
      <x:c r="E1" s="28" t="str">
        <x:v>reported_hours</x:v>
      </x:c>
      <x:c r="F1" s="28" t="str">
        <x:v>bound_type</x:v>
      </x:c>
      <x:c r="G1" s="28" t="str">
        <x:v>source_version</x:v>
      </x:c>
      <x:c r="H1" s="28" t="str">
        <x:v>source_locator</x:v>
      </x:c>
      <x:c r="I1" s="28" t="str">
        <x:v>source_url</x:v>
      </x:c>
      <x:c r="J1" s="28" t="str">
        <x:v>verification_date</x:v>
      </x:c>
      <x:c r="K1" s="28" t="str">
        <x:v>verification_status</x:v>
      </x:c>
      <x:c r="L1" s="28" t="str">
        <x:v>log10_hours (derived)</x:v>
      </x:c>
    </x:row>
    <x:row r="2">
      <x:c r="A2" s="29" t="str">
        <x:v>cosmos_raw</x:v>
      </x:c>
      <x:c r="B2" s="29" t="str">
        <x:v>Cosmos WFM</x:v>
      </x:c>
      <x:c r="C2" s="29" t="str">
        <x:v>raw candidate video collection</x:v>
      </x:c>
      <x:c r="D2" s="29" t="str">
        <x:v>raw_video_collection</x:v>
      </x:c>
      <x:c r="E2" s="32" t="n">
        <x:v>20000000</x:v>
      </x:c>
      <x:c r="F2" s="29" t="str">
        <x:v>approximate</x:v>
      </x:c>
      <x:c r="G2" s="29" t="str">
        <x:v>arXiv:2501.03575v3</x:v>
      </x:c>
      <x:c r="H2" s="29" t="str">
        <x:v>Sections 1 and 3.1</x:v>
      </x:c>
      <x:c r="I2" s="29" t="str">
        <x:v>https://arxiv.org/html/2501.03575</x:v>
      </x:c>
      <x:c r="J2" s="29" t="str">
        <x:v>2026-08-26</x:v>
      </x:c>
      <x:c r="K2" s="29" t="str">
        <x:v>verified_primary_source</x:v>
      </x:c>
      <x:c r="L2" s="33" t="n">
        <x:f>LOG10(E2)</x:f>
        <x:v>7.30102999566398</x:v>
      </x:c>
    </x:row>
    <x:row r="3">
      <x:c r="A3" s="29" t="str">
        <x:v>vjepa2_pretrain</x:v>
      </x:c>
      <x:c r="B3" s="29" t="str">
        <x:v>V-JEPA 2</x:v>
      </x:c>
      <x:c r="C3" s="29" t="str">
        <x:v>internet-video pretraining pool</x:v>
      </x:c>
      <x:c r="D3" s="29" t="str">
        <x:v>internet_video_pretraining</x:v>
      </x:c>
      <x:c r="E3" s="32" t="n">
        <x:v>1000000</x:v>
      </x:c>
      <x:c r="F3" s="29" t="str">
        <x:v>lower_bound</x:v>
      </x:c>
      <x:c r="G3" s="29" t="str">
        <x:v>arXiv:2506.09985v1</x:v>
      </x:c>
      <x:c r="H3" s="29" t="str">
        <x:v>Abstract and Section 2</x:v>
      </x:c>
      <x:c r="I3" s="29" t="str">
        <x:v>https://arxiv.org/html/2506.09985</x:v>
      </x:c>
      <x:c r="J3" s="29" t="str">
        <x:v>2026-08-26</x:v>
      </x:c>
      <x:c r="K3" s="29" t="str">
        <x:v>verified_primary_source</x:v>
      </x:c>
      <x:c r="L3" s="33" t="n">
        <x:f>LOG10(E3)</x:f>
        <x:v>6</x:v>
      </x:c>
    </x:row>
    <x:row r="4">
      <x:c r="A4" s="29" t="str">
        <x:v>pi0_pretrain</x:v>
      </x:c>
      <x:c r="B4" s="29" t="str">
        <x:v>pi_0</x:v>
      </x:c>
      <x:c r="C4" s="29" t="str">
        <x:v>robot-data pretraining mixture</x:v>
      </x:c>
      <x:c r="D4" s="29" t="str">
        <x:v>robot_demonstration_pretraining</x:v>
      </x:c>
      <x:c r="E4" s="32" t="n">
        <x:v>10000</x:v>
      </x:c>
      <x:c r="F4" s="29" t="str">
        <x:v>lower_bound</x:v>
      </x:c>
      <x:c r="G4" s="29" t="str">
        <x:v>arXiv:2410.24164v4</x:v>
      </x:c>
      <x:c r="H4" s="29" t="str">
        <x:v>Introduction and conclusion</x:v>
      </x:c>
      <x:c r="I4" s="29" t="str">
        <x:v>https://arxiv.org/html/2410.24164v4</x:v>
      </x:c>
      <x:c r="J4" s="29" t="str">
        <x:v>2026-08-26</x:v>
      </x:c>
      <x:c r="K4" s="29" t="str">
        <x:v>verified_primary_source</x:v>
      </x:c>
      <x:c r="L4" s="33" t="n">
        <x:f>LOG10(E4)</x:f>
        <x:v>4</x:v>
      </x:c>
    </x:row>
    <x:row r="5">
      <x:c r="A5" s="29" t="str">
        <x:v>dreamer4_video</x:v>
      </x:c>
      <x:c r="B5" s="29" t="str">
        <x:v>Dreamer 4</x:v>
      </x:c>
      <x:c r="C5" s="29" t="str">
        <x:v>VPT gameplay-video pool</x:v>
      </x:c>
      <x:c r="D5" s="29" t="str">
        <x:v>gameplay_video_pool</x:v>
      </x:c>
      <x:c r="E5" s="32" t="n">
        <x:v>2541</x:v>
      </x:c>
      <x:c r="F5" s="29" t="str">
        <x:v>exact</x:v>
      </x:c>
      <x:c r="G5" s="29" t="str">
        <x:v>arXiv:2509.24527v1</x:v>
      </x:c>
      <x:c r="H5" s="29" t="str">
        <x:v>Section 4.3 and Appendix: Minecraft VPT</x:v>
      </x:c>
      <x:c r="I5" s="29" t="str">
        <x:v>https://arxiv.org/pdf/2509.24527</x:v>
      </x:c>
      <x:c r="J5" s="29" t="str">
        <x:v>2026-08-26</x:v>
      </x:c>
      <x:c r="K5" s="29" t="str">
        <x:v>verified_primary_source</x:v>
      </x:c>
      <x:c r="L5" s="33" t="n">
        <x:f>LOG10(E5)</x:f>
        <x:v>3.40500466505037</x:v>
      </x:c>
    </x:row>
    <x:row r="6">
      <x:c r="A6" s="29" t="str">
        <x:v>droid_full</x:v>
      </x:c>
      <x:c r="B6" s="29" t="str">
        <x:v>DROID</x:v>
      </x:c>
      <x:c r="C6" s="29" t="str">
        <x:v>full robot-interaction dataset</x:v>
      </x:c>
      <x:c r="D6" s="29" t="str">
        <x:v>robot_interaction_dataset</x:v>
      </x:c>
      <x:c r="E6" s="32" t="n">
        <x:v>350</x:v>
      </x:c>
      <x:c r="F6" s="29" t="str">
        <x:v>exact</x:v>
      </x:c>
      <x:c r="G6" s="29" t="str">
        <x:v>arXiv:2403.12945v2</x:v>
      </x:c>
      <x:c r="H6" s="29" t="str">
        <x:v>Abstract</x:v>
      </x:c>
      <x:c r="I6" s="29" t="str">
        <x:v>https://arxiv.org/html/2403.12945v2</x:v>
      </x:c>
      <x:c r="J6" s="29" t="str">
        <x:v>2026-08-26</x:v>
      </x:c>
      <x:c r="K6" s="29" t="str">
        <x:v>verified_primary_source</x:v>
      </x:c>
      <x:c r="L6" s="33" t="n">
        <x:f>LOG10(E6)</x:f>
        <x:v>2.54406804435028</x:v>
      </x:c>
    </x:row>
    <x:row r="7">
      <x:c r="A7" s="29" t="str">
        <x:v>dreamer4_actions</x:v>
      </x:c>
      <x:c r="B7" s="29" t="str">
        <x:v>Dreamer 4</x:v>
      </x:c>
      <x:c r="C7" s="29" t="str">
        <x:v>paired-action ablation subset</x:v>
      </x:c>
      <x:c r="D7" s="29" t="str">
        <x:v>action_conditioning_ablation</x:v>
      </x:c>
      <x:c r="E7" s="32" t="n">
        <x:v>100</x:v>
      </x:c>
      <x:c r="F7" s="29" t="str">
        <x:v>exact</x:v>
      </x:c>
      <x:c r="G7" s="29" t="str">
        <x:v>arXiv:2509.24527v1</x:v>
      </x:c>
      <x:c r="H7" s="29" t="str">
        <x:v>Section 4.3 and Figure 7</x:v>
      </x:c>
      <x:c r="I7" s="29" t="str">
        <x:v>https://arxiv.org/pdf/2509.24527</x:v>
      </x:c>
      <x:c r="J7" s="29" t="str">
        <x:v>2026-08-26</x:v>
      </x:c>
      <x:c r="K7" s="29" t="str">
        <x:v>verified_primary_source</x:v>
      </x:c>
      <x:c r="L7" s="33" t="n">
        <x:f>LOG10(E7)</x:f>
        <x:v>2</x:v>
      </x:c>
    </x:row>
    <x:row r="8">
      <x:c r="A8" s="29" t="str">
        <x:v>vjepa2_ac</x:v>
      </x:c>
      <x:c r="B8" s="29" t="str">
        <x:v>V-JEPA 2-AC</x:v>
      </x:c>
      <x:c r="C8" s="29" t="str">
        <x:v>filtered robot-video subset with end-effector states and derived actions</x:v>
      </x:c>
      <x:c r="D8" s="29" t="str">
        <x:v>robot_video_with_derived_actions</x:v>
      </x:c>
      <x:c r="E8" s="32" t="n">
        <x:v>62</x:v>
      </x:c>
      <x:c r="F8" s="29" t="str">
        <x:v>upper_bound</x:v>
      </x:c>
      <x:c r="G8" s="29" t="str">
        <x:v>arXiv:2506.09985v1</x:v>
      </x:c>
      <x:c r="H8" s="29" t="str">
        <x:v>Abstract and Section 3.1</x:v>
      </x:c>
      <x:c r="I8" s="29" t="str">
        <x:v>https://arxiv.org/html/2506.09985</x:v>
      </x:c>
      <x:c r="J8" s="29" t="str">
        <x:v>2026-08-26</x:v>
      </x:c>
      <x:c r="K8" s="29" t="str">
        <x:v>verified_primary_source</x:v>
      </x:c>
      <x:c r="L8" s="33" t="n">
        <x:f>LOG10(E8)</x:f>
        <x:v>1.79239168949825</x:v>
      </x:c>
    </x:row>
  </x:sheetData>
  <x:pageMargins left="0.7" right="0.7" top="0.75" bottom="0.75" header="0.3" footer="0.3"/>
  <x:tableParts count="1">
    <x:tablePart xmlns:r="http://schemas.openxmlformats.org/officeDocument/2006/relationships" r:id="R5fab78d6f7414e7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1.110000610351562" hidden="0" customWidth="1"/>
    <x:col min="2" max="2" width="12.220000267028809" hidden="0" customWidth="1"/>
    <x:col min="3" max="3" width="12.779999732971191" hidden="0" customWidth="1"/>
    <x:col min="4" max="4" width="12.779999732971191" hidden="0" customWidth="1"/>
    <x:col min="5" max="5" width="12.779999732971191" hidden="0" customWidth="1"/>
    <x:col min="6" max="6" width="12.779999732971191" hidden="0" customWidth="1"/>
    <x:col min="7" max="7" width="12.779999732971191" hidden="0" customWidth="1"/>
    <x:col min="8" max="8" width="16.670000076293945" hidden="0" customWidth="1"/>
    <x:col min="9" max="9" width="16.670000076293945" hidden="0" customWidth="1"/>
    <x:col min="10" max="10" width="16.670000076293945" hidden="0" customWidth="1"/>
    <x:col min="11" max="11" width="19.440000534057617" hidden="0" customWidth="1"/>
    <x:col min="12" max="12" width="19.440000534057617" hidden="0" customWidth="1"/>
    <x:col min="13" max="13" width="30" hidden="0" customWidth="1"/>
    <x:col min="14" max="14" width="17.219999313354492" hidden="0" customWidth="1"/>
    <x:col min="15" max="15" width="17.219999313354492" hidden="0" customWidth="1"/>
    <x:col min="16" max="16" width="17.219999313354492" hidden="0" customWidth="1"/>
    <x:col min="17" max="17" width="17.219999313354492" hidden="0" customWidth="1"/>
  </x:cols>
  <x:sheetData>
    <x:row r="1" ht="31.5" customHeight="1">
      <x:c r="A1" s="37" t="str">
        <x:v>task</x:v>
      </x:c>
      <x:c r="B1" s="37" t="str">
        <x:v>baseline_system</x:v>
      </x:c>
      <x:c r="C1" s="37" t="str">
        <x:v>baseline_mean_pct</x:v>
      </x:c>
      <x:c r="D1" s="37" t="str">
        <x:v>baseline_se_pct</x:v>
      </x:c>
      <x:c r="E1" s="37" t="str">
        <x:v>proposed_system</x:v>
      </x:c>
      <x:c r="F1" s="37" t="str">
        <x:v>proposed_mean_pct</x:v>
      </x:c>
      <x:c r="G1" s="37" t="str">
        <x:v>proposed_se_pct</x:v>
      </x:c>
      <x:c r="H1" s="37" t="str">
        <x:v>trials_per_evaluation</x:v>
      </x:c>
      <x:c r="I1" s="37" t="str">
        <x:v>repeated_evaluations</x:v>
      </x:c>
      <x:c r="J1" s="37" t="str">
        <x:v>evaluation_protocol</x:v>
      </x:c>
      <x:c r="K1" s="37" t="str">
        <x:v>source_version</x:v>
      </x:c>
      <x:c r="L1" s="37" t="str">
        <x:v>source_locator</x:v>
      </x:c>
      <x:c r="M1" s="37" t="str">
        <x:v>source_url</x:v>
      </x:c>
      <x:c r="N1" s="37" t="str">
        <x:v>verification_date</x:v>
      </x:c>
      <x:c r="O1" s="37" t="str">
        <x:v>verification_status</x:v>
      </x:c>
      <x:c r="P1" s="37" t="str">
        <x:v>delta_pp (derived)</x:v>
      </x:c>
      <x:c r="Q1" s="37" t="str">
        <x:v>direction (derived)</x:v>
      </x:c>
    </x:row>
    <x:row r="2">
      <x:c r="A2" s="29" t="str">
        <x:v>Open the drawer</x:v>
      </x:c>
      <x:c r="B2" s="29" t="str">
        <x:v>SIMPLER</x:v>
      </x:c>
      <x:c r="C2" s="30" t="n">
        <x:v>34</x:v>
      </x:c>
      <x:c r="D2" s="30" t="n">
        <x:v>7</x:v>
      </x:c>
      <x:c r="E2" s="30" t="str">
        <x:v>World-Gymnast</x:v>
      </x:c>
      <x:c r="F2" s="30" t="n">
        <x:v>58</x:v>
      </x:c>
      <x:c r="G2" s="30" t="n">
        <x:v>4</x:v>
      </x:c>
      <x:c r="H2" s="29" t="n">
        <x:v>10</x:v>
      </x:c>
      <x:c r="I2" s="29" t="n">
        <x:v>5</x:v>
      </x:c>
      <x:c r="J2" s="29" t="str">
        <x:v>AutoEval real-robot evaluation</x:v>
      </x:c>
      <x:c r="K2" s="29" t="str">
        <x:v>arXiv:2602.02454v1</x:v>
      </x:c>
      <x:c r="L2" s="29" t="str">
        <x:v>Section 4.1 and Table 1</x:v>
      </x:c>
      <x:c r="M2" s="29" t="str">
        <x:v>https://arxiv.org/html/2602.02454v1</x:v>
      </x:c>
      <x:c r="N2" s="29" t="str">
        <x:v>2026-08-26</x:v>
      </x:c>
      <x:c r="O2" s="29" t="str">
        <x:v>verified_primary_source</x:v>
      </x:c>
      <x:c r="P2" s="38" t="n">
        <x:f>F2-C2</x:f>
        <x:v>24</x:v>
      </x:c>
      <x:c r="Q2" s="29" t="str">
        <x:f>IF(P2&gt;0,"favors World-Gymnast",IF(P2&lt;0,"favors SIMPLER","tie"))</x:f>
        <x:v>favors World-Gymnast</x:v>
      </x:c>
    </x:row>
    <x:row r="3">
      <x:c r="A3" s="29" t="str">
        <x:v>Close the drawer</x:v>
      </x:c>
      <x:c r="B3" s="29" t="str">
        <x:v>SIMPLER</x:v>
      </x:c>
      <x:c r="C3" s="30" t="n">
        <x:v>74</x:v>
      </x:c>
      <x:c r="D3" s="30" t="n">
        <x:v>5</x:v>
      </x:c>
      <x:c r="E3" s="30" t="str">
        <x:v>World-Gymnast</x:v>
      </x:c>
      <x:c r="F3" s="30" t="n">
        <x:v>62</x:v>
      </x:c>
      <x:c r="G3" s="30" t="n">
        <x:v>6</x:v>
      </x:c>
      <x:c r="H3" s="29" t="n">
        <x:v>10</x:v>
      </x:c>
      <x:c r="I3" s="29" t="n">
        <x:v>5</x:v>
      </x:c>
      <x:c r="J3" s="29" t="str">
        <x:v>AutoEval real-robot evaluation</x:v>
      </x:c>
      <x:c r="K3" s="29" t="str">
        <x:v>arXiv:2602.02454v1</x:v>
      </x:c>
      <x:c r="L3" s="29" t="str">
        <x:v>Section 4.1 and Table 1</x:v>
      </x:c>
      <x:c r="M3" s="29" t="str">
        <x:v>https://arxiv.org/html/2602.02454v1</x:v>
      </x:c>
      <x:c r="N3" s="29" t="str">
        <x:v>2026-08-26</x:v>
      </x:c>
      <x:c r="O3" s="29" t="str">
        <x:v>verified_primary_source</x:v>
      </x:c>
      <x:c r="P3" s="38" t="n">
        <x:f>F3-C3</x:f>
        <x:v>-12</x:v>
      </x:c>
      <x:c r="Q3" s="29" t="str">
        <x:f>IF(P3&gt;0,"favors World-Gymnast",IF(P3&lt;0,"favors SIMPLER","tie"))</x:f>
        <x:v>favors SIMPLER</x:v>
      </x:c>
    </x:row>
    <x:row r="4">
      <x:c r="A4" s="29" t="str">
        <x:v>Put the eggplant into the blue sink</x:v>
      </x:c>
      <x:c r="B4" s="29" t="str">
        <x:v>SIMPLER</x:v>
      </x:c>
      <x:c r="C4" s="30" t="n">
        <x:v>32</x:v>
      </x:c>
      <x:c r="D4" s="30" t="n">
        <x:v>10</x:v>
      </x:c>
      <x:c r="E4" s="30" t="str">
        <x:v>World-Gymnast</x:v>
      </x:c>
      <x:c r="F4" s="30" t="n">
        <x:v>72</x:v>
      </x:c>
      <x:c r="G4" s="30" t="n">
        <x:v>10</x:v>
      </x:c>
      <x:c r="H4" s="29" t="n">
        <x:v>10</x:v>
      </x:c>
      <x:c r="I4" s="29" t="n">
        <x:v>5</x:v>
      </x:c>
      <x:c r="J4" s="29" t="str">
        <x:v>AutoEval real-robot evaluation</x:v>
      </x:c>
      <x:c r="K4" s="29" t="str">
        <x:v>arXiv:2602.02454v1</x:v>
      </x:c>
      <x:c r="L4" s="29" t="str">
        <x:v>Section 4.1 and Table 1</x:v>
      </x:c>
      <x:c r="M4" s="29" t="str">
        <x:v>https://arxiv.org/html/2602.02454v1</x:v>
      </x:c>
      <x:c r="N4" s="29" t="str">
        <x:v>2026-08-26</x:v>
      </x:c>
      <x:c r="O4" s="29" t="str">
        <x:v>verified_primary_source</x:v>
      </x:c>
      <x:c r="P4" s="38" t="n">
        <x:f>F4-C4</x:f>
        <x:v>40</x:v>
      </x:c>
      <x:c r="Q4" s="29" t="str">
        <x:f>IF(P4&gt;0,"favors World-Gymnast",IF(P4&lt;0,"favors SIMPLER","tie"))</x:f>
        <x:v>favors World-Gymnast</x:v>
      </x:c>
    </x:row>
    <x:row r="5">
      <x:c r="A5" s="29" t="str">
        <x:v>Put the eggplant into the yellow basket</x:v>
      </x:c>
      <x:c r="B5" s="29" t="str">
        <x:v>SIMPLER</x:v>
      </x:c>
      <x:c r="C5" s="30" t="n">
        <x:v>40</x:v>
      </x:c>
      <x:c r="D5" s="30" t="n">
        <x:v>10</x:v>
      </x:c>
      <x:c r="E5" s="30" t="str">
        <x:v>World-Gymnast</x:v>
      </x:c>
      <x:c r="F5" s="30" t="n">
        <x:v>78</x:v>
      </x:c>
      <x:c r="G5" s="30" t="n">
        <x:v>2</x:v>
      </x:c>
      <x:c r="H5" s="29" t="n">
        <x:v>10</x:v>
      </x:c>
      <x:c r="I5" s="29" t="n">
        <x:v>5</x:v>
      </x:c>
      <x:c r="J5" s="29" t="str">
        <x:v>AutoEval real-robot evaluation</x:v>
      </x:c>
      <x:c r="K5" s="29" t="str">
        <x:v>arXiv:2602.02454v1</x:v>
      </x:c>
      <x:c r="L5" s="29" t="str">
        <x:v>Section 4.1 and Table 1</x:v>
      </x:c>
      <x:c r="M5" s="29" t="str">
        <x:v>https://arxiv.org/html/2602.02454v1</x:v>
      </x:c>
      <x:c r="N5" s="29" t="str">
        <x:v>2026-08-26</x:v>
      </x:c>
      <x:c r="O5" s="29" t="str">
        <x:v>verified_primary_source</x:v>
      </x:c>
      <x:c r="P5" s="38" t="n">
        <x:f>F5-C5</x:f>
        <x:v>38</x:v>
      </x:c>
      <x:c r="Q5" s="29" t="str">
        <x:f>IF(P5&gt;0,"favors World-Gymnast",IF(P5&lt;0,"favors SIMPLER","tie"))</x:f>
        <x:v>favors World-Gymnast</x:v>
      </x:c>
    </x:row>
  </x:sheetData>
  <x:pageMargins left="0.7" right="0.7" top="0.75" bottom="0.75" header="0.3" footer="0.3"/>
  <x:tableParts count="1">
    <x:tablePart xmlns:r="http://schemas.openxmlformats.org/officeDocument/2006/relationships" r:id="R4b5deb6c325a4e0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4.4399995803833" hidden="0" customWidth="1"/>
    <x:col min="2" max="2" width="23.329999923706055" hidden="0" customWidth="1"/>
    <x:col min="3" max="3" width="51.11000061035156" hidden="0" customWidth="1"/>
    <x:col min="4" max="4" width="17.219999313354492" hidden="0" customWidth="1"/>
    <x:col min="5" max="5" width="17.219999313354492" hidden="0" customWidth="1"/>
    <x:col min="6" max="6" width="31.110000610351562" hidden="0" customWidth="1"/>
    <x:col min="7" max="7" width="18.889999389648438" hidden="0" customWidth="1"/>
    <x:col min="8" max="8" width="18.889999389648438" hidden="0" customWidth="1"/>
  </x:cols>
  <x:sheetData>
    <x:row r="1" ht="31.5" customHeight="1">
      <x:c r="A1" s="28" t="str">
        <x:v>source_id</x:v>
      </x:c>
      <x:c r="B1" s="28" t="str">
        <x:v>system_or_dataset</x:v>
      </x:c>
      <x:c r="C1" s="28" t="str">
        <x:v>title</x:v>
      </x:c>
      <x:c r="D1" s="28" t="str">
        <x:v>source_version_date</x:v>
      </x:c>
      <x:c r="E1" s="28" t="str">
        <x:v>source_version</x:v>
      </x:c>
      <x:c r="F1" s="28" t="str">
        <x:v>source_url</x:v>
      </x:c>
      <x:c r="G1" s="28" t="str">
        <x:v>verification_date</x:v>
      </x:c>
      <x:c r="H1" s="28" t="str">
        <x:v>verification_status</x:v>
      </x:c>
    </x:row>
    <x:row r="2">
      <x:c r="A2" s="29" t="str">
        <x:v>cosmos</x:v>
      </x:c>
      <x:c r="B2" s="29" t="str">
        <x:v>Cosmos WFM</x:v>
      </x:c>
      <x:c r="C2" s="29" t="str">
        <x:v>Cosmos World Foundation Model Platform for Physical AI</x:v>
      </x:c>
      <x:c r="D2" s="29" t="str">
        <x:v>2025-07-09</x:v>
      </x:c>
      <x:c r="E2" s="29" t="str">
        <x:v>arXiv:2501.03575v3</x:v>
      </x:c>
      <x:c r="F2" s="29" t="str">
        <x:v>https://arxiv.org/html/2501.03575</x:v>
      </x:c>
      <x:c r="G2" s="29" t="str">
        <x:v>2026-08-26</x:v>
      </x:c>
      <x:c r="H2" s="29" t="str">
        <x:v>verified_primary_source</x:v>
      </x:c>
    </x:row>
    <x:row r="3">
      <x:c r="A3" s="29" t="str">
        <x:v>vjepa2</x:v>
      </x:c>
      <x:c r="B3" s="29" t="str">
        <x:v>V-JEPA 2 / V-JEPA 2-AC</x:v>
      </x:c>
      <x:c r="C3" s="29" t="str">
        <x:v>V-JEPA 2: Self-Supervised Video Models Enable Understanding, Prediction and Planning</x:v>
      </x:c>
      <x:c r="D3" s="29" t="str">
        <x:v>2025-06-11</x:v>
      </x:c>
      <x:c r="E3" s="29" t="str">
        <x:v>arXiv:2506.09985v1</x:v>
      </x:c>
      <x:c r="F3" s="29" t="str">
        <x:v>https://arxiv.org/html/2506.09985</x:v>
      </x:c>
      <x:c r="G3" s="29" t="str">
        <x:v>2026-08-26</x:v>
      </x:c>
      <x:c r="H3" s="29" t="str">
        <x:v>verified_primary_source</x:v>
      </x:c>
    </x:row>
    <x:row r="4">
      <x:c r="A4" s="29" t="str">
        <x:v>pi0</x:v>
      </x:c>
      <x:c r="B4" s="29" t="str">
        <x:v>pi_0</x:v>
      </x:c>
      <x:c r="C4" s="29" t="str">
        <x:v>pi_0: A Vision-Language-Action Flow Model for General Robot Control</x:v>
      </x:c>
      <x:c r="D4" s="29" t="str">
        <x:v>2026-01-08</x:v>
      </x:c>
      <x:c r="E4" s="29" t="str">
        <x:v>arXiv:2410.24164v4</x:v>
      </x:c>
      <x:c r="F4" s="29" t="str">
        <x:v>https://arxiv.org/html/2410.24164v4</x:v>
      </x:c>
      <x:c r="G4" s="29" t="str">
        <x:v>2026-08-26</x:v>
      </x:c>
      <x:c r="H4" s="29" t="str">
        <x:v>verified_primary_source</x:v>
      </x:c>
    </x:row>
    <x:row r="5">
      <x:c r="A5" s="29" t="str">
        <x:v>dreamer4</x:v>
      </x:c>
      <x:c r="B5" s="29" t="str">
        <x:v>Dreamer 4</x:v>
      </x:c>
      <x:c r="C5" s="29" t="str">
        <x:v>Training Agents Inside of Scalable World Models</x:v>
      </x:c>
      <x:c r="D5" s="29" t="str">
        <x:v>2025-09-29</x:v>
      </x:c>
      <x:c r="E5" s="29" t="str">
        <x:v>arXiv:2509.24527v1</x:v>
      </x:c>
      <x:c r="F5" s="29" t="str">
        <x:v>https://arxiv.org/pdf/2509.24527</x:v>
      </x:c>
      <x:c r="G5" s="29" t="str">
        <x:v>2026-08-26</x:v>
      </x:c>
      <x:c r="H5" s="29" t="str">
        <x:v>verified_primary_source</x:v>
      </x:c>
    </x:row>
    <x:row r="6">
      <x:c r="A6" s="29" t="str">
        <x:v>droid</x:v>
      </x:c>
      <x:c r="B6" s="29" t="str">
        <x:v>DROID</x:v>
      </x:c>
      <x:c r="C6" s="29" t="str">
        <x:v>DROID: A Large-Scale In-The-Wild Robot Manipulation Dataset</x:v>
      </x:c>
      <x:c r="D6" s="29" t="str">
        <x:v>2025-04-22</x:v>
      </x:c>
      <x:c r="E6" s="29" t="str">
        <x:v>arXiv:2403.12945v2</x:v>
      </x:c>
      <x:c r="F6" s="29" t="str">
        <x:v>https://arxiv.org/html/2403.12945v2</x:v>
      </x:c>
      <x:c r="G6" s="29" t="str">
        <x:v>2026-08-26</x:v>
      </x:c>
      <x:c r="H6" s="29" t="str">
        <x:v>verified_primary_source</x:v>
      </x:c>
    </x:row>
    <x:row r="7">
      <x:c r="A7" s="29" t="str">
        <x:v>world_gymnast</x:v>
      </x:c>
      <x:c r="B7" s="29" t="str">
        <x:v>World-Gymnast</x:v>
      </x:c>
      <x:c r="C7" s="29" t="str">
        <x:v>World-Gymnast: Training Robots with Reinforcement Learning in a World Model</x:v>
      </x:c>
      <x:c r="D7" s="29" t="str">
        <x:v>2026-02-02</x:v>
      </x:c>
      <x:c r="E7" s="29" t="str">
        <x:v>arXiv:2602.02454v1</x:v>
      </x:c>
      <x:c r="F7" s="29" t="str">
        <x:v>https://arxiv.org/html/2602.02454v1</x:v>
      </x:c>
      <x:c r="G7" s="29" t="str">
        <x:v>2026-08-26</x:v>
      </x:c>
      <x:c r="H7" s="29" t="str">
        <x:v>verified_primary_source</x:v>
      </x:c>
    </x:row>
  </x:sheetData>
  <x:pageMargins left="0.7" right="0.7" top="0.75" bottom="0.75" header="0.3" footer="0.3"/>
  <x:tableParts count="1">
    <x:tablePart xmlns:r="http://schemas.openxmlformats.org/officeDocument/2006/relationships" r:id="R68d8fc6546ef46d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20" hidden="0" customWidth="1"/>
    <x:col min="3" max="3" width="34.439998626708984" hidden="0" customWidth="1"/>
    <x:col min="4" max="4" width="34.439998626708984" hidden="0" customWidth="1"/>
    <x:col min="5" max="5" width="21.110000610351562" hidden="0" customWidth="1"/>
    <x:col min="6" max="6" width="26.670000076293945" hidden="0" customWidth="1"/>
    <x:col min="7" max="7" width="31.110000610351562" hidden="0" customWidth="1"/>
    <x:col min="8" max="8" width="16.670000076293945" hidden="0" customWidth="1"/>
  </x:cols>
  <x:sheetData>
    <x:row r="1" ht="31.5" customHeight="1">
      <x:c r="A1" s="42" t="str">
        <x:v>claim_id</x:v>
      </x:c>
      <x:c r="B1" s="42" t="str">
        <x:v>claim_type</x:v>
      </x:c>
      <x:c r="C1" s="42" t="str">
        <x:v>submitted_representation</x:v>
      </x:c>
      <x:c r="D1" s="42" t="str">
        <x:v>verified_representation</x:v>
      </x:c>
      <x:c r="E1" s="42" t="str">
        <x:v>decision</x:v>
      </x:c>
      <x:c r="F1" s="42" t="str">
        <x:v>source_locator</x:v>
      </x:c>
      <x:c r="G1" s="42" t="str">
        <x:v>source_url</x:v>
      </x:c>
      <x:c r="H1" s="42" t="str">
        <x:v>verification_date</x:v>
      </x:c>
    </x:row>
    <x:row r="2">
      <x:c r="A2" s="29" t="str">
        <x:v>cosmos_raw</x:v>
      </x:c>
      <x:c r="B2" s="29" t="str">
        <x:v>data scale</x:v>
      </x:c>
      <x:c r="C2" s="29" t="str">
        <x:v>20M presented without a bound</x:v>
      </x:c>
      <x:c r="D2" s="29" t="str">
        <x:v>approximately 20M hours</x:v>
      </x:c>
      <x:c r="E2" s="29" t="str">
        <x:v>qualifier_corrected</x:v>
      </x:c>
      <x:c r="F2" s="29" t="str">
        <x:v>Sections 1 and 3.1</x:v>
      </x:c>
      <x:c r="G2" s="29" t="str">
        <x:v>https://arxiv.org/html/2501.03575</x:v>
      </x:c>
      <x:c r="H2" s="29" t="str">
        <x:v>2026-08-26</x:v>
      </x:c>
    </x:row>
    <x:row r="3">
      <x:c r="A3" s="29" t="str">
        <x:v>vjepa2_pretrain</x:v>
      </x:c>
      <x:c r="B3" s="29" t="str">
        <x:v>data scale</x:v>
      </x:c>
      <x:c r="C3" s="29" t="str">
        <x:v>1M presented as exact</x:v>
      </x:c>
      <x:c r="D3" s="29" t="str">
        <x:v>over 1M hours</x:v>
      </x:c>
      <x:c r="E3" s="29" t="str">
        <x:v>bound_corrected</x:v>
      </x:c>
      <x:c r="F3" s="29" t="str">
        <x:v>Abstract and Section 2</x:v>
      </x:c>
      <x:c r="G3" s="29" t="str">
        <x:v>https://arxiv.org/html/2506.09985</x:v>
      </x:c>
      <x:c r="H3" s="29" t="str">
        <x:v>2026-08-26</x:v>
      </x:c>
    </x:row>
    <x:row r="4">
      <x:c r="A4" s="29" t="str">
        <x:v>pi0_pretrain</x:v>
      </x:c>
      <x:c r="B4" s="29" t="str">
        <x:v>data scale</x:v>
      </x:c>
      <x:c r="C4" s="29" t="str">
        <x:v>10k presented as exact</x:v>
      </x:c>
      <x:c r="D4" s="29" t="str">
        <x:v>over 10,000 hours</x:v>
      </x:c>
      <x:c r="E4" s="29" t="str">
        <x:v>bound_corrected</x:v>
      </x:c>
      <x:c r="F4" s="29" t="str">
        <x:v>Introduction and conclusion</x:v>
      </x:c>
      <x:c r="G4" s="29" t="str">
        <x:v>https://arxiv.org/html/2410.24164v4</x:v>
      </x:c>
      <x:c r="H4" s="29" t="str">
        <x:v>2026-08-26</x:v>
      </x:c>
    </x:row>
    <x:row r="5">
      <x:c r="A5" s="29" t="str">
        <x:v>dreamer4_video</x:v>
      </x:c>
      <x:c r="B5" s="29" t="str">
        <x:v>data scale</x:v>
      </x:c>
      <x:c r="C5" s="29" t="str">
        <x:v>rounded gameplay-video pool</x:v>
      </x:c>
      <x:c r="D5" s="29" t="str">
        <x:v>2,541 hours</x:v>
      </x:c>
      <x:c r="E5" s="29" t="str">
        <x:v>value_corrected</x:v>
      </x:c>
      <x:c r="F5" s="29" t="str">
        <x:v>Section 4.3 and Appendix: Minecraft VPT</x:v>
      </x:c>
      <x:c r="G5" s="29" t="str">
        <x:v>https://arxiv.org/pdf/2509.24527</x:v>
      </x:c>
      <x:c r="H5" s="29" t="str">
        <x:v>2026-08-26</x:v>
      </x:c>
    </x:row>
    <x:row r="6">
      <x:c r="A6" s="29" t="str">
        <x:v>dreamer4_actions</x:v>
      </x:c>
      <x:c r="B6" s="29" t="str">
        <x:v>data scale</x:v>
      </x:c>
      <x:c r="C6" s="29" t="str">
        <x:v>paired-action quantity embedded in a note</x:v>
      </x:c>
      <x:c r="D6" s="29" t="str">
        <x:v>100-hour paired-action condition</x:v>
      </x:c>
      <x:c r="E6" s="29" t="str">
        <x:v>claim_split</x:v>
      </x:c>
      <x:c r="F6" s="29" t="str">
        <x:v>Section 4.3 and Figure 7</x:v>
      </x:c>
      <x:c r="G6" s="29" t="str">
        <x:v>https://arxiv.org/pdf/2509.24527</x:v>
      </x:c>
      <x:c r="H6" s="29" t="str">
        <x:v>2026-08-26</x:v>
      </x:c>
    </x:row>
    <x:row r="7">
      <x:c r="A7" s="29" t="str">
        <x:v>droid_full</x:v>
      </x:c>
      <x:c r="B7" s="29" t="str">
        <x:v>data scale</x:v>
      </x:c>
      <x:c r="C7" s="29" t="str">
        <x:v>350 hours</x:v>
      </x:c>
      <x:c r="D7" s="29" t="str">
        <x:v>350 hours</x:v>
      </x:c>
      <x:c r="E7" s="29" t="str">
        <x:v>retained</x:v>
      </x:c>
      <x:c r="F7" s="29" t="str">
        <x:v>Abstract</x:v>
      </x:c>
      <x:c r="G7" s="29" t="str">
        <x:v>https://arxiv.org/html/2403.12945v2</x:v>
      </x:c>
      <x:c r="H7" s="29" t="str">
        <x:v>2026-08-26</x:v>
      </x:c>
    </x:row>
    <x:row r="8">
      <x:c r="A8" s="29" t="str">
        <x:v>vjepa2_ac</x:v>
      </x:c>
      <x:c r="B8" s="29" t="str">
        <x:v>data scale</x:v>
      </x:c>
      <x:c r="C8" s="29" t="str">
        <x:v>62 presented as exact</x:v>
      </x:c>
      <x:c r="D8" s="29" t="str">
        <x:v>less than 62 hours with end-effector states and derived actions</x:v>
      </x:c>
      <x:c r="E8" s="29" t="str">
        <x:v>bound_and_role_corrected</x:v>
      </x:c>
      <x:c r="F8" s="29" t="str">
        <x:v>Abstract and Section 3.1</x:v>
      </x:c>
      <x:c r="G8" s="29" t="str">
        <x:v>https://arxiv.org/html/2506.09985</x:v>
      </x:c>
      <x:c r="H8" s="29" t="str">
        <x:v>2026-08-26</x:v>
      </x:c>
    </x:row>
    <x:row r="9">
      <x:c r="A9" s="29" t="str">
        <x:v>rt1_estimate</x:v>
      </x:c>
      <x:c r="B9" s="29" t="str">
        <x:v>data scale</x:v>
      </x:c>
      <x:c r="C9" s="29" t="str">
        <x:v>episode-to-hour author estimate</x:v>
      </x:c>
      <x:c r="D9" s="29" t="str">
        <x:v>removed</x:v>
      </x:c>
      <x:c r="E9" s="29" t="str">
        <x:v>excluded_not_primary_measurement</x:v>
      </x:c>
      <x:c r="F9" s="29" t="str">
        <x:v>No reported-hour locator</x:v>
      </x:c>
      <x:c r="G9" s="29" t="str">
        <x:v>https://arxiv.org/abs/2212.06817</x:v>
      </x:c>
      <x:c r="H9" s="29" t="str">
        <x:v>2026-08-26</x:v>
      </x:c>
    </x:row>
    <x:row r="10">
      <x:c r="A10" s="29" t="str">
        <x:v>world_gymnast_open_the_drawer</x:v>
      </x:c>
      <x:c r="B10" s="29" t="str">
        <x:v>real-robot success comparison</x:v>
      </x:c>
      <x:c r="C10" s="29" t="str">
        <x:v>prior verified extraction</x:v>
      </x:c>
      <x:c r="D10" s="29" t="str">
        <x:v>SIMPLER 34±7%; World-Gymnast 58±4%</x:v>
      </x:c>
      <x:c r="E10" s="29" t="str">
        <x:v>retained</x:v>
      </x:c>
      <x:c r="F10" s="29" t="str">
        <x:v>Section 4.1 and Table 1</x:v>
      </x:c>
      <x:c r="G10" s="29" t="str">
        <x:v>https://arxiv.org/html/2602.02454v1</x:v>
      </x:c>
      <x:c r="H10" s="29" t="str">
        <x:v>2026-08-26</x:v>
      </x:c>
    </x:row>
    <x:row r="11">
      <x:c r="A11" s="29" t="str">
        <x:v>world_gymnast_close_the_drawer</x:v>
      </x:c>
      <x:c r="B11" s="29" t="str">
        <x:v>real-robot success comparison</x:v>
      </x:c>
      <x:c r="C11" s="29" t="str">
        <x:v>prior verified extraction</x:v>
      </x:c>
      <x:c r="D11" s="29" t="str">
        <x:v>SIMPLER 74±5%; World-Gymnast 62±6%</x:v>
      </x:c>
      <x:c r="E11" s="29" t="str">
        <x:v>retained</x:v>
      </x:c>
      <x:c r="F11" s="29" t="str">
        <x:v>Section 4.1 and Table 1</x:v>
      </x:c>
      <x:c r="G11" s="29" t="str">
        <x:v>https://arxiv.org/html/2602.02454v1</x:v>
      </x:c>
      <x:c r="H11" s="29" t="str">
        <x:v>2026-08-26</x:v>
      </x:c>
    </x:row>
    <x:row r="12">
      <x:c r="A12" s="29" t="str">
        <x:v>world_gymnast_put_the_eggplant_into_the_blue_sink</x:v>
      </x:c>
      <x:c r="B12" s="29" t="str">
        <x:v>real-robot success comparison</x:v>
      </x:c>
      <x:c r="C12" s="29" t="str">
        <x:v>prior verified extraction</x:v>
      </x:c>
      <x:c r="D12" s="29" t="str">
        <x:v>SIMPLER 32±10%; World-Gymnast 72±10%</x:v>
      </x:c>
      <x:c r="E12" s="29" t="str">
        <x:v>retained</x:v>
      </x:c>
      <x:c r="F12" s="29" t="str">
        <x:v>Section 4.1 and Table 1</x:v>
      </x:c>
      <x:c r="G12" s="29" t="str">
        <x:v>https://arxiv.org/html/2602.02454v1</x:v>
      </x:c>
      <x:c r="H12" s="29" t="str">
        <x:v>2026-08-26</x:v>
      </x:c>
    </x:row>
    <x:row r="13">
      <x:c r="A13" s="29" t="str">
        <x:v>world_gymnast_put_the_eggplant_into_the_yellow_basket</x:v>
      </x:c>
      <x:c r="B13" s="29" t="str">
        <x:v>real-robot success comparison</x:v>
      </x:c>
      <x:c r="C13" s="29" t="str">
        <x:v>prior verified extraction</x:v>
      </x:c>
      <x:c r="D13" s="29" t="str">
        <x:v>SIMPLER 40±10%; World-Gymnast 78±2%</x:v>
      </x:c>
      <x:c r="E13" s="29" t="str">
        <x:v>retained</x:v>
      </x:c>
      <x:c r="F13" s="29" t="str">
        <x:v>Section 4.1 and Table 1</x:v>
      </x:c>
      <x:c r="G13" s="29" t="str">
        <x:v>https://arxiv.org/html/2602.02454v1</x:v>
      </x:c>
      <x:c r="H13" s="29" t="str">
        <x:v>2026-08-26</x:v>
      </x:c>
    </x:row>
  </x:sheetData>
  <x:pageMargins left="0.7" right="0.7" top="0.75" bottom="0.75" header="0.3" footer="0.3"/>
  <x:tableParts count="1">
    <x:tablePart xmlns:r="http://schemas.openxmlformats.org/officeDocument/2006/relationships" r:id="R3f669d406ee64ff0"/>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9.440000534057617" hidden="0" customWidth="1"/>
    <x:col min="2" max="2" width="27.219999313354492" hidden="0" customWidth="1"/>
    <x:col min="3" max="3" width="22.780000686645508" hidden="0" customWidth="1"/>
    <x:col min="4" max="4" width="26.110000610351562" hidden="0" customWidth="1"/>
    <x:col min="5" max="5" width="71.11000061035156" hidden="0" customWidth="1"/>
  </x:cols>
  <x:sheetData>
    <x:row r="1" ht="31.5" customHeight="1">
      <x:c r="A1" s="42" t="str">
        <x:v>input_file</x:v>
      </x:c>
      <x:c r="B1" s="42" t="str">
        <x:v>input_row_id</x:v>
      </x:c>
      <x:c r="C1" s="42" t="str">
        <x:v>decision</x:v>
      </x:c>
      <x:c r="D1" s="42" t="str">
        <x:v>retained_output_id</x:v>
      </x:c>
      <x:c r="E1" s="42" t="str">
        <x:v>reason</x:v>
      </x:c>
    </x:row>
    <x:row r="2">
      <x:c r="A2" s="29" t="str">
        <x:v>corpus_master.csv</x:v>
      </x:c>
      <x:c r="B2" s="29" t="str">
        <x:v>rt1</x:v>
      </x:c>
      <x:c r="C2" s="29" t="str">
        <x:v>excluded_unverified_record</x:v>
      </x:c>
      <x:c r="D2" s="29" t="str"/>
      <x:c r="E2" s="29" t="str">
        <x:v>Record is manuscript-derived and lacks record-level primary-source URL, locator, and field-level verification.</x:v>
      </x:c>
    </x:row>
    <x:row r="3">
      <x:c r="A3" s="29" t="str">
        <x:v>corpus_master.csv</x:v>
      </x:c>
      <x:c r="B3" s="29" t="str">
        <x:v>rt2</x:v>
      </x:c>
      <x:c r="C3" s="29" t="str">
        <x:v>excluded_unverified_record</x:v>
      </x:c>
      <x:c r="D3" s="29" t="str"/>
      <x:c r="E3" s="29" t="str">
        <x:v>Record is manuscript-derived and lacks record-level primary-source URL, locator, and field-level verification.</x:v>
      </x:c>
    </x:row>
    <x:row r="4">
      <x:c r="A4" s="29" t="str">
        <x:v>corpus_master.csv</x:v>
      </x:c>
      <x:c r="B4" s="29" t="str">
        <x:v>oxe</x:v>
      </x:c>
      <x:c r="C4" s="29" t="str">
        <x:v>excluded_unverified_record</x:v>
      </x:c>
      <x:c r="D4" s="29" t="str"/>
      <x:c r="E4" s="29" t="str">
        <x:v>Record is manuscript-derived and lacks record-level primary-source URL, locator, and field-level verification.</x:v>
      </x:c>
    </x:row>
    <x:row r="5">
      <x:c r="A5" s="29" t="str">
        <x:v>corpus_master.csv</x:v>
      </x:c>
      <x:c r="B5" s="29" t="str">
        <x:v>openvla</x:v>
      </x:c>
      <x:c r="C5" s="29" t="str">
        <x:v>excluded_unverified_record</x:v>
      </x:c>
      <x:c r="D5" s="29" t="str"/>
      <x:c r="E5" s="29" t="str">
        <x:v>Record is manuscript-derived and lacks record-level primary-source URL, locator, and field-level verification.</x:v>
      </x:c>
    </x:row>
    <x:row r="6">
      <x:c r="A6" s="29" t="str">
        <x:v>corpus_master.csv</x:v>
      </x:c>
      <x:c r="B6" s="29" t="str">
        <x:v>fast</x:v>
      </x:c>
      <x:c r="C6" s="29" t="str">
        <x:v>excluded_unverified_record</x:v>
      </x:c>
      <x:c r="D6" s="29" t="str"/>
      <x:c r="E6" s="29" t="str">
        <x:v>Record is manuscript-derived and lacks record-level primary-source URL, locator, and field-level verification.</x:v>
      </x:c>
    </x:row>
    <x:row r="7">
      <x:c r="A7" s="29" t="str">
        <x:v>corpus_master.csv</x:v>
      </x:c>
      <x:c r="B7" s="29" t="str">
        <x:v>openvlaoft</x:v>
      </x:c>
      <x:c r="C7" s="29" t="str">
        <x:v>excluded_unverified_record</x:v>
      </x:c>
      <x:c r="D7" s="29" t="str"/>
      <x:c r="E7" s="29" t="str">
        <x:v>Record is manuscript-derived and lacks record-level primary-source URL, locator, and field-level verification.</x:v>
      </x:c>
    </x:row>
    <x:row r="8">
      <x:c r="A8" s="29" t="str">
        <x:v>corpus_master.csv</x:v>
      </x:c>
      <x:c r="B8" s="29" t="str">
        <x:v>octo</x:v>
      </x:c>
      <x:c r="C8" s="29" t="str">
        <x:v>excluded_unverified_record</x:v>
      </x:c>
      <x:c r="D8" s="29" t="str"/>
      <x:c r="E8" s="29" t="str">
        <x:v>Record is manuscript-derived and lacks record-level primary-source URL, locator, and field-level verification.</x:v>
      </x:c>
    </x:row>
    <x:row r="9">
      <x:c r="A9" s="29" t="str">
        <x:v>corpus_master.csv</x:v>
      </x:c>
      <x:c r="B9" s="29" t="str">
        <x:v>pi0</x:v>
      </x:c>
      <x:c r="C9" s="29" t="str">
        <x:v>excluded_unverified_record</x:v>
      </x:c>
      <x:c r="D9" s="29" t="str"/>
      <x:c r="E9" s="29" t="str">
        <x:v>Record is manuscript-derived and lacks record-level primary-source URL, locator, and field-level verification.</x:v>
      </x:c>
    </x:row>
    <x:row r="10">
      <x:c r="A10" s="29" t="str">
        <x:v>corpus_master.csv</x:v>
      </x:c>
      <x:c r="B10" s="29" t="str">
        <x:v>rdt1b</x:v>
      </x:c>
      <x:c r="C10" s="29" t="str">
        <x:v>excluded_unverified_record</x:v>
      </x:c>
      <x:c r="D10" s="29" t="str"/>
      <x:c r="E10" s="29" t="str">
        <x:v>Record is manuscript-derived and lacks record-level primary-source URL, locator, and field-level verification.</x:v>
      </x:c>
    </x:row>
    <x:row r="11">
      <x:c r="A11" s="29" t="str">
        <x:v>corpus_master.csv</x:v>
      </x:c>
      <x:c r="B11" s="29" t="str">
        <x:v>groot</x:v>
      </x:c>
      <x:c r="C11" s="29" t="str">
        <x:v>excluded_unverified_record</x:v>
      </x:c>
      <x:c r="D11" s="29" t="str"/>
      <x:c r="E11" s="29" t="str">
        <x:v>Record is manuscript-derived and lacks record-level primary-source URL, locator, and field-level verification.</x:v>
      </x:c>
    </x:row>
    <x:row r="12">
      <x:c r="A12" s="29" t="str">
        <x:v>corpus_master.csv</x:v>
      </x:c>
      <x:c r="B12" s="29" t="str">
        <x:v>pi05</x:v>
      </x:c>
      <x:c r="C12" s="29" t="str">
        <x:v>excluded_unverified_record</x:v>
      </x:c>
      <x:c r="D12" s="29" t="str"/>
      <x:c r="E12" s="29" t="str">
        <x:v>Record is manuscript-derived and lacks record-level primary-source URL, locator, and field-level verification.</x:v>
      </x:c>
    </x:row>
    <x:row r="13">
      <x:c r="A13" s="29" t="str">
        <x:v>corpus_master.csv</x:v>
      </x:c>
      <x:c r="B13" s="29" t="str">
        <x:v>gr2</x:v>
      </x:c>
      <x:c r="C13" s="29" t="str">
        <x:v>excluded_unverified_record</x:v>
      </x:c>
      <x:c r="D13" s="29" t="str"/>
      <x:c r="E13" s="29" t="str">
        <x:v>Record is manuscript-derived and lacks record-level primary-source URL, locator, and field-level verification.</x:v>
      </x:c>
    </x:row>
    <x:row r="14">
      <x:c r="A14" s="29" t="str">
        <x:v>corpus_master.csv</x:v>
      </x:c>
      <x:c r="B14" s="29" t="str">
        <x:v>geminirobotics</x:v>
      </x:c>
      <x:c r="C14" s="29" t="str">
        <x:v>excluded_unverified_record</x:v>
      </x:c>
      <x:c r="D14" s="29" t="str"/>
      <x:c r="E14" s="29" t="str">
        <x:v>Record is manuscript-derived and lacks record-level primary-source URL, locator, and field-level verification.</x:v>
      </x:c>
    </x:row>
    <x:row r="15">
      <x:c r="A15" s="29" t="str">
        <x:v>corpus_master.csv</x:v>
      </x:c>
      <x:c r="B15" s="29" t="str">
        <x:v>helix</x:v>
      </x:c>
      <x:c r="C15" s="29" t="str">
        <x:v>excluded_unverified_record</x:v>
      </x:c>
      <x:c r="D15" s="29" t="str"/>
      <x:c r="E15" s="29" t="str">
        <x:v>Record is manuscript-derived and lacks record-level primary-source URL, locator, and field-level verification.</x:v>
      </x:c>
    </x:row>
    <x:row r="16">
      <x:c r="A16" s="29" t="str">
        <x:v>corpus_master.csv</x:v>
      </x:c>
      <x:c r="B16" s="29" t="str">
        <x:v>saycan</x:v>
      </x:c>
      <x:c r="C16" s="29" t="str">
        <x:v>excluded_unverified_record</x:v>
      </x:c>
      <x:c r="D16" s="29" t="str"/>
      <x:c r="E16" s="29" t="str">
        <x:v>Record is manuscript-derived and lacks record-level primary-source URL, locator, and field-level verification.</x:v>
      </x:c>
    </x:row>
    <x:row r="17">
      <x:c r="A17" s="29" t="str">
        <x:v>corpus_master.csv</x:v>
      </x:c>
      <x:c r="B17" s="29" t="str">
        <x:v>palme</x:v>
      </x:c>
      <x:c r="C17" s="29" t="str">
        <x:v>excluded_unverified_record</x:v>
      </x:c>
      <x:c r="D17" s="29" t="str"/>
      <x:c r="E17" s="29" t="str">
        <x:v>Record is manuscript-derived and lacks record-level primary-source URL, locator, and field-level verification.</x:v>
      </x:c>
    </x:row>
    <x:row r="18">
      <x:c r="A18" s="29" t="str">
        <x:v>corpus_master.csv</x:v>
      </x:c>
      <x:c r="B18" s="29" t="str">
        <x:v>hirobot</x:v>
      </x:c>
      <x:c r="C18" s="29" t="str">
        <x:v>excluded_unverified_record</x:v>
      </x:c>
      <x:c r="D18" s="29" t="str"/>
      <x:c r="E18" s="29" t="str">
        <x:v>Record is manuscript-derived and lacks record-level primary-source URL, locator, and field-level verification.</x:v>
      </x:c>
    </x:row>
    <x:row r="19">
      <x:c r="A19" s="29" t="str">
        <x:v>corpus_master.csv</x:v>
      </x:c>
      <x:c r="B19" s="29" t="str">
        <x:v>ecot</x:v>
      </x:c>
      <x:c r="C19" s="29" t="str">
        <x:v>excluded_unverified_record</x:v>
      </x:c>
      <x:c r="D19" s="29" t="str"/>
      <x:c r="E19" s="29" t="str">
        <x:v>Record is manuscript-derived and lacks record-level primary-source URL, locator, and field-level verification.</x:v>
      </x:c>
    </x:row>
    <x:row r="20">
      <x:c r="A20" s="29" t="str">
        <x:v>corpus_master.csv</x:v>
      </x:c>
      <x:c r="B20" s="29" t="str">
        <x:v>cotvla</x:v>
      </x:c>
      <x:c r="C20" s="29" t="str">
        <x:v>excluded_unverified_record</x:v>
      </x:c>
      <x:c r="D20" s="29" t="str"/>
      <x:c r="E20" s="29" t="str">
        <x:v>Record is manuscript-derived and lacks record-level primary-source URL, locator, and field-level verification.</x:v>
      </x:c>
    </x:row>
    <x:row r="21">
      <x:c r="A21" s="29" t="str">
        <x:v>corpus_master.csv</x:v>
      </x:c>
      <x:c r="B21" s="29" t="str">
        <x:v>gemini15</x:v>
      </x:c>
      <x:c r="C21" s="29" t="str">
        <x:v>excluded_unverified_record</x:v>
      </x:c>
      <x:c r="D21" s="29" t="str"/>
      <x:c r="E21" s="29" t="str">
        <x:v>Record is manuscript-derived and lacks record-level primary-source URL, locator, and field-level verification.</x:v>
      </x:c>
    </x:row>
    <x:row r="22">
      <x:c r="A22" s="29" t="str">
        <x:v>corpus_master.csv</x:v>
      </x:c>
      <x:c r="B22" s="29" t="str">
        <x:v>threedvla</x:v>
      </x:c>
      <x:c r="C22" s="29" t="str">
        <x:v>excluded_unverified_record</x:v>
      </x:c>
      <x:c r="D22" s="29" t="str"/>
      <x:c r="E22" s="29" t="str">
        <x:v>Record is manuscript-derived and lacks record-level primary-source URL, locator, and field-level verification.</x:v>
      </x:c>
    </x:row>
    <x:row r="23">
      <x:c r="A23" s="29" t="str">
        <x:v>corpus_master.csv</x:v>
      </x:c>
      <x:c r="B23" s="29" t="str">
        <x:v>spatialvla</x:v>
      </x:c>
      <x:c r="C23" s="29" t="str">
        <x:v>excluded_unverified_record</x:v>
      </x:c>
      <x:c r="D23" s="29" t="str"/>
      <x:c r="E23" s="29" t="str">
        <x:v>Record is manuscript-derived and lacks record-level primary-source URL, locator, and field-level verification.</x:v>
      </x:c>
    </x:row>
    <x:row r="24">
      <x:c r="A24" s="29" t="str">
        <x:v>corpus_master.csv</x:v>
      </x:c>
      <x:c r="B24" s="29" t="str">
        <x:v>graspvla</x:v>
      </x:c>
      <x:c r="C24" s="29" t="str">
        <x:v>excluded_unverified_record</x:v>
      </x:c>
      <x:c r="D24" s="29" t="str"/>
      <x:c r="E24" s="29" t="str">
        <x:v>Record is manuscript-derived and lacks record-level primary-source URL, locator, and field-level verification.</x:v>
      </x:c>
    </x:row>
    <x:row r="25">
      <x:c r="A25" s="29" t="str">
        <x:v>corpus_master.csv</x:v>
      </x:c>
      <x:c r="B25" s="29" t="str">
        <x:v>fp3</x:v>
      </x:c>
      <x:c r="C25" s="29" t="str">
        <x:v>excluded_unverified_record</x:v>
      </x:c>
      <x:c r="D25" s="29" t="str"/>
      <x:c r="E25" s="29" t="str">
        <x:v>Record is manuscript-derived and lacks record-level primary-source URL, locator, and field-level verification.</x:v>
      </x:c>
    </x:row>
    <x:row r="26">
      <x:c r="A26" s="29" t="str">
        <x:v>corpus_master.csv</x:v>
      </x:c>
      <x:c r="B26" s="29" t="str">
        <x:v>simplevlarl</x:v>
      </x:c>
      <x:c r="C26" s="29" t="str">
        <x:v>excluded_unverified_record</x:v>
      </x:c>
      <x:c r="D26" s="29" t="str"/>
      <x:c r="E26" s="29" t="str">
        <x:v>Record is manuscript-derived and lacks record-level primary-source URL, locator, and field-level verification.</x:v>
      </x:c>
    </x:row>
    <x:row r="27">
      <x:c r="A27" s="29" t="str">
        <x:v>corpus_master.csv</x:v>
      </x:c>
      <x:c r="B27" s="29" t="str">
        <x:v>riptvla</x:v>
      </x:c>
      <x:c r="C27" s="29" t="str">
        <x:v>excluded_unverified_record</x:v>
      </x:c>
      <x:c r="D27" s="29" t="str"/>
      <x:c r="E27" s="29" t="str">
        <x:v>Record is manuscript-derived and lacks record-level primary-source URL, locator, and field-level verification.</x:v>
      </x:c>
    </x:row>
    <x:row r="28">
      <x:c r="A28" s="29" t="str">
        <x:v>corpus_master.csv</x:v>
      </x:c>
      <x:c r="B28" s="29" t="str">
        <x:v>irevla</x:v>
      </x:c>
      <x:c r="C28" s="29" t="str">
        <x:v>excluded_unverified_record</x:v>
      </x:c>
      <x:c r="D28" s="29" t="str"/>
      <x:c r="E28" s="29" t="str">
        <x:v>Record is manuscript-derived and lacks record-level primary-source URL, locator, and field-level verification.</x:v>
      </x:c>
    </x:row>
    <x:row r="29">
      <x:c r="A29" s="29" t="str">
        <x:v>corpus_master.csv</x:v>
      </x:c>
      <x:c r="B29" s="29" t="str">
        <x:v>grape</x:v>
      </x:c>
      <x:c r="C29" s="29" t="str">
        <x:v>excluded_unverified_record</x:v>
      </x:c>
      <x:c r="D29" s="29" t="str"/>
      <x:c r="E29" s="29" t="str">
        <x:v>Record is manuscript-derived and lacks record-level primary-source URL, locator, and field-level verification.</x:v>
      </x:c>
    </x:row>
    <x:row r="30">
      <x:c r="A30" s="29" t="str">
        <x:v>corpus_master.csv</x:v>
      </x:c>
      <x:c r="B30" s="29" t="str">
        <x:v>flarerl</x:v>
      </x:c>
      <x:c r="C30" s="29" t="str">
        <x:v>excluded_unverified_record</x:v>
      </x:c>
      <x:c r="D30" s="29" t="str"/>
      <x:c r="E30" s="29" t="str">
        <x:v>Record is manuscript-derived and lacks record-level primary-source URL, locator, and field-level verification.</x:v>
      </x:c>
    </x:row>
    <x:row r="31">
      <x:c r="A31" s="29" t="str">
        <x:v>corpus_master.csv</x:v>
      </x:c>
      <x:c r="B31" s="29" t="str">
        <x:v>tinyvla</x:v>
      </x:c>
      <x:c r="C31" s="29" t="str">
        <x:v>excluded_unverified_record</x:v>
      </x:c>
      <x:c r="D31" s="29" t="str"/>
      <x:c r="E31" s="29" t="str">
        <x:v>Record is manuscript-derived and lacks record-level primary-source URL, locator, and field-level verification.</x:v>
      </x:c>
    </x:row>
    <x:row r="32">
      <x:c r="A32" s="29" t="str">
        <x:v>corpus_master.csv</x:v>
      </x:c>
      <x:c r="B32" s="29" t="str">
        <x:v>smolvla</x:v>
      </x:c>
      <x:c r="C32" s="29" t="str">
        <x:v>excluded_unverified_record</x:v>
      </x:c>
      <x:c r="D32" s="29" t="str"/>
      <x:c r="E32" s="29" t="str">
        <x:v>Record is manuscript-derived and lacks record-level primary-source URL, locator, and field-level verification.</x:v>
      </x:c>
    </x:row>
    <x:row r="33">
      <x:c r="A33" s="29" t="str">
        <x:v>corpus_master.csv</x:v>
      </x:c>
      <x:c r="B33" s="29" t="str">
        <x:v>bitvla</x:v>
      </x:c>
      <x:c r="C33" s="29" t="str">
        <x:v>excluded_unverified_record</x:v>
      </x:c>
      <x:c r="D33" s="29" t="str"/>
      <x:c r="E33" s="29" t="str">
        <x:v>Record is manuscript-derived and lacks record-level primary-source URL, locator, and field-level verification.</x:v>
      </x:c>
    </x:row>
    <x:row r="34">
      <x:c r="A34" s="29" t="str">
        <x:v>corpus_master.csv</x:v>
      </x:c>
      <x:c r="B34" s="29" t="str">
        <x:v>robomamba</x:v>
      </x:c>
      <x:c r="C34" s="29" t="str">
        <x:v>excluded_unverified_record</x:v>
      </x:c>
      <x:c r="D34" s="29" t="str"/>
      <x:c r="E34" s="29" t="str">
        <x:v>Record is manuscript-derived and lacks record-level primary-source URL, locator, and field-level verification.</x:v>
      </x:c>
    </x:row>
    <x:row r="35">
      <x:c r="A35" s="29" t="str">
        <x:v>corpus_master.csv</x:v>
      </x:c>
      <x:c r="B35" s="29" t="str">
        <x:v>pdvla</x:v>
      </x:c>
      <x:c r="C35" s="29" t="str">
        <x:v>excluded_unverified_record</x:v>
      </x:c>
      <x:c r="D35" s="29" t="str"/>
      <x:c r="E35" s="29" t="str">
        <x:v>Record is manuscript-derived and lacks record-level primary-source URL, locator, and field-level verification.</x:v>
      </x:c>
    </x:row>
    <x:row r="36">
      <x:c r="A36" s="29" t="str">
        <x:v>corpus_master.csv</x:v>
      </x:c>
      <x:c r="B36" s="29" t="str">
        <x:v>ceedvla</x:v>
      </x:c>
      <x:c r="C36" s="29" t="str">
        <x:v>excluded_unverified_record</x:v>
      </x:c>
      <x:c r="D36" s="29" t="str"/>
      <x:c r="E36" s="29" t="str">
        <x:v>Record is manuscript-derived and lacks record-level primary-source URL, locator, and field-level verification.</x:v>
      </x:c>
    </x:row>
    <x:row r="37">
      <x:c r="A37" s="29" t="str">
        <x:v>corpus_master.csv</x:v>
      </x:c>
      <x:c r="B37" s="29" t="str">
        <x:v>deervla</x:v>
      </x:c>
      <x:c r="C37" s="29" t="str">
        <x:v>excluded_unverified_record</x:v>
      </x:c>
      <x:c r="D37" s="29" t="str"/>
      <x:c r="E37" s="29" t="str">
        <x:v>Record is manuscript-derived and lacks record-level primary-source URL, locator, and field-level verification.</x:v>
      </x:c>
    </x:row>
    <x:row r="38">
      <x:c r="A38" s="29" t="str">
        <x:v>corpus_master.csv</x:v>
      </x:c>
      <x:c r="B38" s="29" t="str">
        <x:v>mobilityvla</x:v>
      </x:c>
      <x:c r="C38" s="29" t="str">
        <x:v>excluded_unverified_record</x:v>
      </x:c>
      <x:c r="D38" s="29" t="str"/>
      <x:c r="E38" s="29" t="str">
        <x:v>Record is manuscript-derived and lacks record-level primary-source URL, locator, and field-level verification.</x:v>
      </x:c>
    </x:row>
    <x:row r="39">
      <x:c r="A39" s="29" t="str">
        <x:v>corpus_master.csv</x:v>
      </x:c>
      <x:c r="B39" s="29" t="str">
        <x:v>lohovla</x:v>
      </x:c>
      <x:c r="C39" s="29" t="str">
        <x:v>excluded_unverified_record</x:v>
      </x:c>
      <x:c r="D39" s="29" t="str"/>
      <x:c r="E39" s="29" t="str">
        <x:v>Record is manuscript-derived and lacks record-level primary-source URL, locator, and field-level verification.</x:v>
      </x:c>
    </x:row>
    <x:row r="40">
      <x:c r="A40" s="29" t="str">
        <x:v>corpus_master.csv</x:v>
      </x:c>
      <x:c r="B40" s="29" t="str">
        <x:v>memoryvla</x:v>
      </x:c>
      <x:c r="C40" s="29" t="str">
        <x:v>excluded_unverified_record</x:v>
      </x:c>
      <x:c r="D40" s="29" t="str"/>
      <x:c r="E40" s="29" t="str">
        <x:v>Record is manuscript-derived and lacks record-level primary-source URL, locator, and field-level verification.</x:v>
      </x:c>
    </x:row>
    <x:row r="41">
      <x:c r="A41" s="29" t="str">
        <x:v>corpus_master.csv</x:v>
      </x:c>
      <x:c r="B41" s="29" t="str">
        <x:v>ddvla</x:v>
      </x:c>
      <x:c r="C41" s="29" t="str">
        <x:v>excluded_unverified_record</x:v>
      </x:c>
      <x:c r="D41" s="29" t="str"/>
      <x:c r="E41" s="29" t="str">
        <x:v>Record is manuscript-derived and lacks record-level primary-source URL, locator, and field-level verification.</x:v>
      </x:c>
    </x:row>
    <x:row r="42">
      <x:c r="A42" s="29" t="str">
        <x:v>corpus_master.csv</x:v>
      </x:c>
      <x:c r="B42" s="29" t="str">
        <x:v>forcevla</x:v>
      </x:c>
      <x:c r="C42" s="29" t="str">
        <x:v>excluded_unverified_record</x:v>
      </x:c>
      <x:c r="D42" s="29" t="str"/>
      <x:c r="E42" s="29" t="str">
        <x:v>Record is manuscript-derived and lacks record-level primary-source URL, locator, and field-level verification.</x:v>
      </x:c>
    </x:row>
    <x:row r="43">
      <x:c r="A43" s="29" t="str">
        <x:v>corpus_master.csv</x:v>
      </x:c>
      <x:c r="B43" s="29" t="str">
        <x:v>tactilevla</x:v>
      </x:c>
      <x:c r="C43" s="29" t="str">
        <x:v>excluded_unverified_record</x:v>
      </x:c>
      <x:c r="D43" s="29" t="str"/>
      <x:c r="E43" s="29" t="str">
        <x:v>Record is manuscript-derived and lacks record-level primary-source URL, locator, and field-level verification.</x:v>
      </x:c>
    </x:row>
    <x:row r="44">
      <x:c r="A44" s="29" t="str">
        <x:v>corpus_master.csv</x:v>
      </x:c>
      <x:c r="B44" s="29" t="str">
        <x:v>worldmodels2018</x:v>
      </x:c>
      <x:c r="C44" s="29" t="str">
        <x:v>excluded_unverified_record</x:v>
      </x:c>
      <x:c r="D44" s="29" t="str"/>
      <x:c r="E44" s="29" t="str">
        <x:v>Record is manuscript-derived and lacks record-level primary-source URL, locator, and field-level verification.</x:v>
      </x:c>
    </x:row>
    <x:row r="45">
      <x:c r="A45" s="29" t="str">
        <x:v>corpus_master.csv</x:v>
      </x:c>
      <x:c r="B45" s="29" t="str">
        <x:v>planet</x:v>
      </x:c>
      <x:c r="C45" s="29" t="str">
        <x:v>excluded_unverified_record</x:v>
      </x:c>
      <x:c r="D45" s="29" t="str"/>
      <x:c r="E45" s="29" t="str">
        <x:v>Record is manuscript-derived and lacks record-level primary-source URL, locator, and field-level verification.</x:v>
      </x:c>
    </x:row>
    <x:row r="46">
      <x:c r="A46" s="29" t="str">
        <x:v>corpus_master.csv</x:v>
      </x:c>
      <x:c r="B46" s="29" t="str">
        <x:v>dreamerv3</x:v>
      </x:c>
      <x:c r="C46" s="29" t="str">
        <x:v>excluded_unverified_record</x:v>
      </x:c>
      <x:c r="D46" s="29" t="str"/>
      <x:c r="E46" s="29" t="str">
        <x:v>Record is manuscript-derived and lacks record-level primary-source URL, locator, and field-level verification.</x:v>
      </x:c>
    </x:row>
    <x:row r="47">
      <x:c r="A47" s="29" t="str">
        <x:v>corpus_master.csv</x:v>
      </x:c>
      <x:c r="B47" s="29" t="str">
        <x:v>tdmpc2</x:v>
      </x:c>
      <x:c r="C47" s="29" t="str">
        <x:v>excluded_unverified_record</x:v>
      </x:c>
      <x:c r="D47" s="29" t="str"/>
      <x:c r="E47" s="29" t="str">
        <x:v>Record is manuscript-derived and lacks record-level primary-source URL, locator, and field-level verification.</x:v>
      </x:c>
    </x:row>
    <x:row r="48">
      <x:c r="A48" s="29" t="str">
        <x:v>corpus_master.csv</x:v>
      </x:c>
      <x:c r="B48" s="29" t="str">
        <x:v>dreamer4</x:v>
      </x:c>
      <x:c r="C48" s="29" t="str">
        <x:v>excluded_unverified_record</x:v>
      </x:c>
      <x:c r="D48" s="29" t="str"/>
      <x:c r="E48" s="29" t="str">
        <x:v>Record is manuscript-derived and lacks record-level primary-source URL, locator, and field-level verification.</x:v>
      </x:c>
    </x:row>
    <x:row r="49">
      <x:c r="A49" s="29" t="str">
        <x:v>corpus_master.csv</x:v>
      </x:c>
      <x:c r="B49" s="29" t="str">
        <x:v>unipi</x:v>
      </x:c>
      <x:c r="C49" s="29" t="str">
        <x:v>excluded_unverified_record</x:v>
      </x:c>
      <x:c r="D49" s="29" t="str"/>
      <x:c r="E49" s="29" t="str">
        <x:v>Record is manuscript-derived and lacks record-level primary-source URL, locator, and field-level verification.</x:v>
      </x:c>
    </x:row>
    <x:row r="50">
      <x:c r="A50" s="29" t="str">
        <x:v>corpus_master.csv</x:v>
      </x:c>
      <x:c r="B50" s="29" t="str">
        <x:v>unisim</x:v>
      </x:c>
      <x:c r="C50" s="29" t="str">
        <x:v>excluded_unverified_record</x:v>
      </x:c>
      <x:c r="D50" s="29" t="str"/>
      <x:c r="E50" s="29" t="str">
        <x:v>Record is manuscript-derived and lacks record-level primary-source URL, locator, and field-level verification.</x:v>
      </x:c>
    </x:row>
    <x:row r="51">
      <x:c r="A51" s="29" t="str">
        <x:v>corpus_master.csv</x:v>
      </x:c>
      <x:c r="B51" s="29" t="str">
        <x:v>gr1</x:v>
      </x:c>
      <x:c r="C51" s="29" t="str">
        <x:v>excluded_unverified_record</x:v>
      </x:c>
      <x:c r="D51" s="29" t="str"/>
      <x:c r="E51" s="29" t="str">
        <x:v>Record is manuscript-derived and lacks record-level primary-source URL, locator, and field-level verification.</x:v>
      </x:c>
    </x:row>
    <x:row r="52">
      <x:c r="A52" s="29" t="str">
        <x:v>corpus_master.csv</x:v>
      </x:c>
      <x:c r="B52" s="29" t="str">
        <x:v>cosmos</x:v>
      </x:c>
      <x:c r="C52" s="29" t="str">
        <x:v>excluded_unverified_record</x:v>
      </x:c>
      <x:c r="D52" s="29" t="str"/>
      <x:c r="E52" s="29" t="str">
        <x:v>Record is manuscript-derived and lacks record-level primary-source URL, locator, and field-level verification.</x:v>
      </x:c>
    </x:row>
    <x:row r="53">
      <x:c r="A53" s="29" t="str">
        <x:v>corpus_master.csv</x:v>
      </x:c>
      <x:c r="B53" s="29" t="str">
        <x:v>genie3</x:v>
      </x:c>
      <x:c r="C53" s="29" t="str">
        <x:v>excluded_unverified_record</x:v>
      </x:c>
      <x:c r="D53" s="29" t="str"/>
      <x:c r="E53" s="29" t="str">
        <x:v>Record is manuscript-derived and lacks record-level primary-source URL, locator, and field-level verification.</x:v>
      </x:c>
    </x:row>
    <x:row r="54">
      <x:c r="A54" s="29" t="str">
        <x:v>corpus_master.csv</x:v>
      </x:c>
      <x:c r="B54" s="29" t="str">
        <x:v>genieenvisioner</x:v>
      </x:c>
      <x:c r="C54" s="29" t="str">
        <x:v>excluded_unverified_record</x:v>
      </x:c>
      <x:c r="D54" s="29" t="str"/>
      <x:c r="E54" s="29" t="str">
        <x:v>Record is manuscript-derived and lacks record-level primary-source URL, locator, and field-level verification.</x:v>
      </x:c>
    </x:row>
    <x:row r="55">
      <x:c r="A55" s="29" t="str">
        <x:v>corpus_master.csv</x:v>
      </x:c>
      <x:c r="B55" s="29" t="str">
        <x:v>vjepa2</x:v>
      </x:c>
      <x:c r="C55" s="29" t="str">
        <x:v>excluded_unverified_record</x:v>
      </x:c>
      <x:c r="D55" s="29" t="str"/>
      <x:c r="E55" s="29" t="str">
        <x:v>Record is manuscript-derived and lacks record-level primary-source URL, locator, and field-level verification.</x:v>
      </x:c>
    </x:row>
    <x:row r="56">
      <x:c r="A56" s="29" t="str">
        <x:v>corpus_master.csv</x:v>
      </x:c>
      <x:c r="B56" s="29" t="str">
        <x:v>dinowm</x:v>
      </x:c>
      <x:c r="C56" s="29" t="str">
        <x:v>excluded_unverified_record</x:v>
      </x:c>
      <x:c r="D56" s="29" t="str"/>
      <x:c r="E56" s="29" t="str">
        <x:v>Record is manuscript-derived and lacks record-level primary-source URL, locator, and field-level verification.</x:v>
      </x:c>
    </x:row>
    <x:row r="57">
      <x:c r="A57" s="29" t="str">
        <x:v>corpus_master.csv</x:v>
      </x:c>
      <x:c r="B57" s="29" t="str">
        <x:v>jepavla</x:v>
      </x:c>
      <x:c r="C57" s="29" t="str">
        <x:v>excluded_unverified_record</x:v>
      </x:c>
      <x:c r="D57" s="29" t="str"/>
      <x:c r="E57" s="29" t="str">
        <x:v>Record is manuscript-derived and lacks record-level primary-source URL, locator, and field-level verification.</x:v>
      </x:c>
    </x:row>
    <x:row r="58">
      <x:c r="A58" s="29" t="str">
        <x:v>corpus_master.csv</x:v>
      </x:c>
      <x:c r="B58" s="29" t="str">
        <x:v>lawam</x:v>
      </x:c>
      <x:c r="C58" s="29" t="str">
        <x:v>excluded_unverified_record</x:v>
      </x:c>
      <x:c r="D58" s="29" t="str"/>
      <x:c r="E58" s="29" t="str">
        <x:v>Record is manuscript-derived and lacks record-level primary-source URL, locator, and field-level verification.</x:v>
      </x:c>
    </x:row>
    <x:row r="59">
      <x:c r="A59" s="29" t="str">
        <x:v>corpus_master.csv</x:v>
      </x:c>
      <x:c r="B59" s="29" t="str">
        <x:v>tesseract</x:v>
      </x:c>
      <x:c r="C59" s="29" t="str">
        <x:v>excluded_unverified_record</x:v>
      </x:c>
      <x:c r="D59" s="29" t="str"/>
      <x:c r="E59" s="29" t="str">
        <x:v>Record is manuscript-derived and lacks record-level primary-source URL, locator, and field-level verification.</x:v>
      </x:c>
    </x:row>
    <x:row r="60">
      <x:c r="A60" s="29" t="str">
        <x:v>corpus_master.csv</x:v>
      </x:c>
      <x:c r="B60" s="29" t="str">
        <x:v>gaussianworld</x:v>
      </x:c>
      <x:c r="C60" s="29" t="str">
        <x:v>excluded_unverified_record</x:v>
      </x:c>
      <x:c r="D60" s="29" t="str"/>
      <x:c r="E60" s="29" t="str">
        <x:v>Record is manuscript-derived and lacks record-level primary-source URL, locator, and field-level verification.</x:v>
      </x:c>
    </x:row>
    <x:row r="61">
      <x:c r="A61" s="29" t="str">
        <x:v>corpus_master.csv</x:v>
      </x:c>
      <x:c r="B61" s="29" t="str">
        <x:v>manigaussian</x:v>
      </x:c>
      <x:c r="C61" s="29" t="str">
        <x:v>excluded_unverified_record</x:v>
      </x:c>
      <x:c r="D61" s="29" t="str"/>
      <x:c r="E61" s="29" t="str">
        <x:v>Record is manuscript-derived and lacks record-level primary-source URL, locator, and field-level verification.</x:v>
      </x:c>
    </x:row>
    <x:row r="62">
      <x:c r="A62" s="29" t="str">
        <x:v>corpus_master.csv</x:v>
      </x:c>
      <x:c r="B62" s="29" t="str">
        <x:v>physdreamer</x:v>
      </x:c>
      <x:c r="C62" s="29" t="str">
        <x:v>excluded_unverified_record</x:v>
      </x:c>
      <x:c r="D62" s="29" t="str"/>
      <x:c r="E62" s="29" t="str">
        <x:v>Record is manuscript-derived and lacks record-level primary-source URL, locator, and field-level verification.</x:v>
      </x:c>
    </x:row>
    <x:row r="63">
      <x:c r="A63" s="29" t="str">
        <x:v>corpus_master.csv</x:v>
      </x:c>
      <x:c r="B63" s="29" t="str">
        <x:v>dreamtac</x:v>
      </x:c>
      <x:c r="C63" s="29" t="str">
        <x:v>excluded_unverified_record</x:v>
      </x:c>
      <x:c r="D63" s="29" t="str"/>
      <x:c r="E63" s="29" t="str">
        <x:v>Record is manuscript-derived and lacks record-level primary-source URL, locator, and field-level verification.</x:v>
      </x:c>
    </x:row>
    <x:row r="64">
      <x:c r="A64" s="29" t="str">
        <x:v>corpus_master.csv</x:v>
      </x:c>
      <x:c r="B64" s="29" t="str">
        <x:v>touchworld</x:v>
      </x:c>
      <x:c r="C64" s="29" t="str">
        <x:v>excluded_unverified_record</x:v>
      </x:c>
      <x:c r="D64" s="29" t="str"/>
      <x:c r="E64" s="29" t="str">
        <x:v>Record is manuscript-derived and lacks record-level primary-source URL, locator, and field-level verification.</x:v>
      </x:c>
    </x:row>
    <x:row r="65">
      <x:c r="A65" s="29" t="str">
        <x:v>corpus_master.csv</x:v>
      </x:c>
      <x:c r="B65" s="29" t="str">
        <x:v>rwm</x:v>
      </x:c>
      <x:c r="C65" s="29" t="str">
        <x:v>excluded_unverified_record</x:v>
      </x:c>
      <x:c r="D65" s="29" t="str"/>
      <x:c r="E65" s="29" t="str">
        <x:v>Record is manuscript-derived and lacks record-level primary-source URL, locator, and field-level verification.</x:v>
      </x:c>
    </x:row>
    <x:row r="66">
      <x:c r="A66" s="29" t="str">
        <x:v>corpus_master.csv</x:v>
      </x:c>
      <x:c r="B66" s="29" t="str">
        <x:v>dreamgen</x:v>
      </x:c>
      <x:c r="C66" s="29" t="str">
        <x:v>excluded_unverified_record</x:v>
      </x:c>
      <x:c r="D66" s="29" t="str"/>
      <x:c r="E66" s="29" t="str">
        <x:v>Record is manuscript-derived and lacks record-level primary-source URL, locator, and field-level verification.</x:v>
      </x:c>
    </x:row>
    <x:row r="67">
      <x:c r="A67" s="29" t="str">
        <x:v>corpus_master.csv</x:v>
      </x:c>
      <x:c r="B67" s="29" t="str">
        <x:v>policyeval</x:v>
      </x:c>
      <x:c r="C67" s="29" t="str">
        <x:v>excluded_unverified_record</x:v>
      </x:c>
      <x:c r="D67" s="29" t="str"/>
      <x:c r="E67" s="29" t="str">
        <x:v>Record is manuscript-derived and lacks record-level primary-source URL, locator, and field-level verification.</x:v>
      </x:c>
    </x:row>
    <x:row r="68">
      <x:c r="A68" s="29" t="str">
        <x:v>corpus_master.csv</x:v>
      </x:c>
      <x:c r="B68" s="29" t="str">
        <x:v>unifolm</x:v>
      </x:c>
      <x:c r="C68" s="29" t="str">
        <x:v>excluded_unverified_record</x:v>
      </x:c>
      <x:c r="D68" s="29" t="str"/>
      <x:c r="E68" s="29" t="str">
        <x:v>Record is manuscript-derived and lacks record-level primary-source URL, locator, and field-level verification.</x:v>
      </x:c>
    </x:row>
    <x:row r="69">
      <x:c r="A69" s="29" t="str">
        <x:v>corpus_master.csv</x:v>
      </x:c>
      <x:c r="B69" s="29" t="str">
        <x:v>worldgymnast</x:v>
      </x:c>
      <x:c r="C69" s="29" t="str">
        <x:v>excluded_unverified_record</x:v>
      </x:c>
      <x:c r="D69" s="29" t="str"/>
      <x:c r="E69" s="29" t="str">
        <x:v>Record is manuscript-derived and lacks record-level primary-source URL, locator, and field-level verification.</x:v>
      </x:c>
    </x:row>
    <x:row r="70">
      <x:c r="A70" s="29" t="str">
        <x:v>corpus_master.csv</x:v>
      </x:c>
      <x:c r="B70" s="29" t="str">
        <x:v>ivideogpt</x:v>
      </x:c>
      <x:c r="C70" s="29" t="str">
        <x:v>excluded_unverified_record</x:v>
      </x:c>
      <x:c r="D70" s="29" t="str"/>
      <x:c r="E70" s="29" t="str">
        <x:v>Record is manuscript-derived and lacks record-level primary-source URL, locator, and field-level verification.</x:v>
      </x:c>
    </x:row>
    <x:row r="71">
      <x:c r="A71" s="29" t="str">
        <x:v>corpus_master.csv</x:v>
      </x:c>
      <x:c r="B71" s="29" t="str">
        <x:v>avdc</x:v>
      </x:c>
      <x:c r="C71" s="29" t="str">
        <x:v>excluded_unverified_record</x:v>
      </x:c>
      <x:c r="D71" s="29" t="str"/>
      <x:c r="E71" s="29" t="str">
        <x:v>Record is manuscript-derived and lacks record-level primary-source URL, locator, and field-level verification.</x:v>
      </x:c>
    </x:row>
    <x:row r="72">
      <x:c r="A72" s="29" t="str">
        <x:v>corpus_master.csv</x:v>
      </x:c>
      <x:c r="B72" s="29" t="str">
        <x:v>susie</x:v>
      </x:c>
      <x:c r="C72" s="29" t="str">
        <x:v>excluded_unverified_record</x:v>
      </x:c>
      <x:c r="D72" s="29" t="str"/>
      <x:c r="E72" s="29" t="str">
        <x:v>Record is manuscript-derived and lacks record-level primary-source URL, locator, and field-level verification.</x:v>
      </x:c>
    </x:row>
    <x:row r="73">
      <x:c r="A73" s="29" t="str">
        <x:v>corpus_master.csv</x:v>
      </x:c>
      <x:c r="B73" s="29" t="str">
        <x:v>vlp</x:v>
      </x:c>
      <x:c r="C73" s="29" t="str">
        <x:v>excluded_unverified_record</x:v>
      </x:c>
      <x:c r="D73" s="29" t="str"/>
      <x:c r="E73" s="29" t="str">
        <x:v>Record is manuscript-derived and lacks record-level primary-source URL, locator, and field-level verification.</x:v>
      </x:c>
    </x:row>
    <x:row r="74">
      <x:c r="A74" s="29" t="str">
        <x:v>corpus_master.csv</x:v>
      </x:c>
      <x:c r="B74" s="29" t="str">
        <x:v>worldvla</x:v>
      </x:c>
      <x:c r="C74" s="29" t="str">
        <x:v>excluded_unverified_record</x:v>
      </x:c>
      <x:c r="D74" s="29" t="str"/>
      <x:c r="E74" s="29" t="str">
        <x:v>Record is manuscript-derived and lacks record-level primary-source URL, locator, and field-level verification.</x:v>
      </x:c>
    </x:row>
    <x:row r="75">
      <x:c r="A75" s="29" t="str">
        <x:v>corpus_master.csv</x:v>
      </x:c>
      <x:c r="B75" s="29" t="str">
        <x:v>flarewm</x:v>
      </x:c>
      <x:c r="C75" s="29" t="str">
        <x:v>excluded_unverified_record</x:v>
      </x:c>
      <x:c r="D75" s="29" t="str"/>
      <x:c r="E75" s="29" t="str">
        <x:v>Record is manuscript-derived and lacks record-level primary-source URL, locator, and field-level verification.</x:v>
      </x:c>
    </x:row>
    <x:row r="76">
      <x:c r="A76" s="29" t="str">
        <x:v>corpus_master.csv</x:v>
      </x:c>
      <x:c r="B76" s="29" t="str">
        <x:v>dreamvla</x:v>
      </x:c>
      <x:c r="C76" s="29" t="str">
        <x:v>excluded_unverified_record</x:v>
      </x:c>
      <x:c r="D76" s="29" t="str"/>
      <x:c r="E76" s="29" t="str">
        <x:v>Record is manuscript-derived and lacks record-level primary-source URL, locator, and field-level verification.</x:v>
      </x:c>
    </x:row>
    <x:row r="77">
      <x:c r="A77" s="29" t="str">
        <x:v>corpus_master.csv</x:v>
      </x:c>
      <x:c r="B77" s="29" t="str">
        <x:v>cosmospolicy</x:v>
      </x:c>
      <x:c r="C77" s="29" t="str">
        <x:v>excluded_unverified_record</x:v>
      </x:c>
      <x:c r="D77" s="29" t="str"/>
      <x:c r="E77" s="29" t="str">
        <x:v>Record is manuscript-derived and lacks record-level primary-source URL, locator, and field-level verification.</x:v>
      </x:c>
    </x:row>
    <x:row r="78">
      <x:c r="A78" s="29" t="str">
        <x:v>corpus_master.csv</x:v>
      </x:c>
      <x:c r="B78" s="29" t="str">
        <x:v>structvla</x:v>
      </x:c>
      <x:c r="C78" s="29" t="str">
        <x:v>excluded_unverified_record</x:v>
      </x:c>
      <x:c r="D78" s="29" t="str"/>
      <x:c r="E78" s="29" t="str">
        <x:v>Record is manuscript-derived and lacks record-level primary-source URL, locator, and field-level verification.</x:v>
      </x:c>
    </x:row>
    <x:row r="79">
      <x:c r="A79" s="29" t="str">
        <x:v>corpus_master.csv</x:v>
      </x:c>
      <x:c r="B79" s="29" t="str">
        <x:v>harmowam</x:v>
      </x:c>
      <x:c r="C79" s="29" t="str">
        <x:v>excluded_unverified_record</x:v>
      </x:c>
      <x:c r="D79" s="29" t="str"/>
      <x:c r="E79" s="29" t="str">
        <x:v>Record is manuscript-derived and lacks record-level primary-source URL, locator, and field-level verification.</x:v>
      </x:c>
    </x:row>
    <x:row r="80">
      <x:c r="A80" s="29" t="str">
        <x:v>corpus_master.csv</x:v>
      </x:c>
      <x:c r="B80" s="29" t="str">
        <x:v>grootn15</x:v>
      </x:c>
      <x:c r="C80" s="29" t="str">
        <x:v>excluded_unverified_record</x:v>
      </x:c>
      <x:c r="D80" s="29" t="str"/>
      <x:c r="E80" s="29" t="str">
        <x:v>Record is manuscript-derived and lacks record-level primary-source URL, locator, and field-level verification.</x:v>
      </x:c>
    </x:row>
    <x:row r="81">
      <x:c r="A81" s="29" t="str">
        <x:v>corpus_master.csv</x:v>
      </x:c>
      <x:c r="B81" s="29" t="str">
        <x:v>liu2023libero</x:v>
      </x:c>
      <x:c r="C81" s="29" t="str">
        <x:v>excluded_unverified_record</x:v>
      </x:c>
      <x:c r="D81" s="29" t="str"/>
      <x:c r="E81" s="29" t="str">
        <x:v>Record is manuscript-derived and lacks record-level primary-source URL, locator, and field-level verification.</x:v>
      </x:c>
    </x:row>
    <x:row r="82">
      <x:c r="A82" s="29" t="str">
        <x:v>corpus_master.csv</x:v>
      </x:c>
      <x:c r="B82" s="29" t="str">
        <x:v>liberoplus</x:v>
      </x:c>
      <x:c r="C82" s="29" t="str">
        <x:v>excluded_unverified_record</x:v>
      </x:c>
      <x:c r="D82" s="29" t="str"/>
      <x:c r="E82" s="29" t="str">
        <x:v>Record is manuscript-derived and lacks record-level primary-source URL, locator, and field-level verification.</x:v>
      </x:c>
    </x:row>
    <x:row r="83">
      <x:c r="A83" s="29" t="str">
        <x:v>corpus_master.csv</x:v>
      </x:c>
      <x:c r="B83" s="29" t="str">
        <x:v>safelibero</x:v>
      </x:c>
      <x:c r="C83" s="29" t="str">
        <x:v>excluded_unverified_record</x:v>
      </x:c>
      <x:c r="D83" s="29" t="str"/>
      <x:c r="E83" s="29" t="str">
        <x:v>Record is manuscript-derived and lacks record-level primary-source URL, locator, and field-level verification.</x:v>
      </x:c>
    </x:row>
    <x:row r="84">
      <x:c r="A84" s="29" t="str">
        <x:v>corpus_master.csv</x:v>
      </x:c>
      <x:c r="B84" s="29" t="str">
        <x:v>simplerenv</x:v>
      </x:c>
      <x:c r="C84" s="29" t="str">
        <x:v>excluded_unverified_record</x:v>
      </x:c>
      <x:c r="D84" s="29" t="str"/>
      <x:c r="E84" s="29" t="str">
        <x:v>Record is manuscript-derived and lacks record-level primary-source URL, locator, and field-level verification.</x:v>
      </x:c>
    </x:row>
    <x:row r="85">
      <x:c r="A85" s="29" t="str">
        <x:v>corpus_master.csv</x:v>
      </x:c>
      <x:c r="B85" s="29" t="str">
        <x:v>calvin</x:v>
      </x:c>
      <x:c r="C85" s="29" t="str">
        <x:v>excluded_unverified_record</x:v>
      </x:c>
      <x:c r="D85" s="29" t="str"/>
      <x:c r="E85" s="29" t="str">
        <x:v>Record is manuscript-derived and lacks record-level primary-source URL, locator, and field-level verification.</x:v>
      </x:c>
    </x:row>
    <x:row r="86">
      <x:c r="A86" s="29" t="str">
        <x:v>corpus_master.csv</x:v>
      </x:c>
      <x:c r="B86" s="29" t="str">
        <x:v>rlbench</x:v>
      </x:c>
      <x:c r="C86" s="29" t="str">
        <x:v>excluded_unverified_record</x:v>
      </x:c>
      <x:c r="D86" s="29" t="str"/>
      <x:c r="E86" s="29" t="str">
        <x:v>Record is manuscript-derived and lacks record-level primary-source URL, locator, and field-level verification.</x:v>
      </x:c>
    </x:row>
    <x:row r="87">
      <x:c r="A87" s="29" t="str">
        <x:v>corpus_master.csv</x:v>
      </x:c>
      <x:c r="B87" s="29" t="str">
        <x:v>maniskill3</x:v>
      </x:c>
      <x:c r="C87" s="29" t="str">
        <x:v>excluded_unverified_record</x:v>
      </x:c>
      <x:c r="D87" s="29" t="str"/>
      <x:c r="E87" s="29" t="str">
        <x:v>Record is manuscript-derived and lacks record-level primary-source URL, locator, and field-level verification.</x:v>
      </x:c>
    </x:row>
    <x:row r="88">
      <x:c r="A88" s="29" t="str">
        <x:v>corpus_master.csv</x:v>
      </x:c>
      <x:c r="B88" s="29" t="str">
        <x:v>robocasa</x:v>
      </x:c>
      <x:c r="C88" s="29" t="str">
        <x:v>excluded_unverified_record</x:v>
      </x:c>
      <x:c r="D88" s="29" t="str"/>
      <x:c r="E88" s="29" t="str">
        <x:v>Record is manuscript-derived and lacks record-level primary-source URL, locator, and field-level verification.</x:v>
      </x:c>
    </x:row>
    <x:row r="89">
      <x:c r="A89" s="29" t="str">
        <x:v>corpus_master.csv</x:v>
      </x:c>
      <x:c r="B89" s="29" t="str">
        <x:v>metaworld</x:v>
      </x:c>
      <x:c r="C89" s="29" t="str">
        <x:v>excluded_unverified_record</x:v>
      </x:c>
      <x:c r="D89" s="29" t="str"/>
      <x:c r="E89" s="29" t="str">
        <x:v>Record is manuscript-derived and lacks record-level primary-source URL, locator, and field-level verification.</x:v>
      </x:c>
    </x:row>
    <x:row r="90">
      <x:c r="A90" s="29" t="str">
        <x:v>corpus_master.csv</x:v>
      </x:c>
      <x:c r="B90" s="29" t="str">
        <x:v>roboarena</x:v>
      </x:c>
      <x:c r="C90" s="29" t="str">
        <x:v>excluded_unverified_record</x:v>
      </x:c>
      <x:c r="D90" s="29" t="str"/>
      <x:c r="E90" s="29" t="str">
        <x:v>Record is manuscript-derived and lacks record-level primary-source URL, locator, and field-level verification.</x:v>
      </x:c>
    </x:row>
    <x:row r="91">
      <x:c r="A91" s="29" t="str">
        <x:v>corpus_master.csv</x:v>
      </x:c>
      <x:c r="B91" s="29" t="str">
        <x:v>polaris</x:v>
      </x:c>
      <x:c r="C91" s="29" t="str">
        <x:v>excluded_unverified_record</x:v>
      </x:c>
      <x:c r="D91" s="29" t="str"/>
      <x:c r="E91" s="29" t="str">
        <x:v>Record is manuscript-derived and lacks record-level primary-source URL, locator, and field-level verification.</x:v>
      </x:c>
    </x:row>
    <x:row r="92">
      <x:c r="A92" s="29" t="str">
        <x:v>corpus_master.csv</x:v>
      </x:c>
      <x:c r="B92" s="29" t="str">
        <x:v>wmbench</x:v>
      </x:c>
      <x:c r="C92" s="29" t="str">
        <x:v>excluded_unverified_record</x:v>
      </x:c>
      <x:c r="D92" s="29" t="str"/>
      <x:c r="E92" s="29" t="str">
        <x:v>Record is manuscript-derived and lacks record-level primary-source URL, locator, and field-level verification.</x:v>
      </x:c>
    </x:row>
    <x:row r="93">
      <x:c r="A93" s="29" t="str">
        <x:v>corpus_master.csv</x:v>
      </x:c>
      <x:c r="B93" s="29" t="str">
        <x:v>physicsiq</x:v>
      </x:c>
      <x:c r="C93" s="29" t="str">
        <x:v>excluded_unverified_record</x:v>
      </x:c>
      <x:c r="D93" s="29" t="str"/>
      <x:c r="E93" s="29" t="str">
        <x:v>Record is manuscript-derived and lacks record-level primary-source URL, locator, and field-level verification.</x:v>
      </x:c>
    </x:row>
    <x:row r="94">
      <x:c r="A94" s="29" t="str">
        <x:v>corpus_master.csv</x:v>
      </x:c>
      <x:c r="B94" s="29" t="str">
        <x:v>vbench2</x:v>
      </x:c>
      <x:c r="C94" s="29" t="str">
        <x:v>excluded_unverified_record</x:v>
      </x:c>
      <x:c r="D94" s="29" t="str"/>
      <x:c r="E94" s="29" t="str">
        <x:v>Record is manuscript-derived and lacks record-level primary-source URL, locator, and field-level verification.</x:v>
      </x:c>
    </x:row>
    <x:row r="95">
      <x:c r="A95" s="29" t="str">
        <x:v>corpus_master.csv</x:v>
      </x:c>
      <x:c r="B95" s="29" t="str">
        <x:v>worldarena</x:v>
      </x:c>
      <x:c r="C95" s="29" t="str">
        <x:v>excluded_unverified_record</x:v>
      </x:c>
      <x:c r="D95" s="29" t="str"/>
      <x:c r="E95" s="29" t="str">
        <x:v>Record is manuscript-derived and lacks record-level primary-source URL, locator, and field-level verification.</x:v>
      </x:c>
    </x:row>
    <x:row r="96">
      <x:c r="A96" s="29" t="str">
        <x:v>corpus_master.csv</x:v>
      </x:c>
      <x:c r="B96" s="29" t="str">
        <x:v>maniparena</x:v>
      </x:c>
      <x:c r="C96" s="29" t="str">
        <x:v>excluded_unverified_record</x:v>
      </x:c>
      <x:c r="D96" s="29" t="str"/>
      <x:c r="E96" s="29" t="str">
        <x:v>Record is manuscript-derived and lacks record-level primary-source URL, locator, and field-level verification.</x:v>
      </x:c>
    </x:row>
    <x:row r="97">
      <x:c r="A97" s="29" t="str">
        <x:v>corpus_master.csv</x:v>
      </x:c>
      <x:c r="B97" s="29" t="str">
        <x:v>vlaharness</x:v>
      </x:c>
      <x:c r="C97" s="29" t="str">
        <x:v>excluded_unverified_record</x:v>
      </x:c>
      <x:c r="D97" s="29" t="str"/>
      <x:c r="E97" s="29" t="str">
        <x:v>Record is manuscript-derived and lacks record-level primary-source URL, locator, and field-level verification.</x:v>
      </x:c>
    </x:row>
    <x:row r="98">
      <x:c r="A98" s="29" t="str">
        <x:v>corpus_master.csv</x:v>
      </x:c>
      <x:c r="B98" s="29" t="str">
        <x:v>mimicgen</x:v>
      </x:c>
      <x:c r="C98" s="29" t="str">
        <x:v>excluded_unverified_record</x:v>
      </x:c>
      <x:c r="D98" s="29" t="str"/>
      <x:c r="E98" s="29" t="str">
        <x:v>Record is manuscript-derived and lacks record-level primary-source URL, locator, and field-level verification.</x:v>
      </x:c>
    </x:row>
    <x:row r="99">
      <x:c r="A99" s="29" t="str">
        <x:v>corpus_master.csv</x:v>
      </x:c>
      <x:c r="B99" s="29" t="str">
        <x:v>behavior1k</x:v>
      </x:c>
      <x:c r="C99" s="29" t="str">
        <x:v>excluded_unverified_record</x:v>
      </x:c>
      <x:c r="D99" s="29" t="str"/>
      <x:c r="E99" s="29" t="str">
        <x:v>Record is manuscript-derived and lacks record-level primary-source URL, locator, and field-level verification.</x:v>
      </x:c>
    </x:row>
    <x:row r="100">
      <x:c r="A100" s="29" t="str">
        <x:v>corpus_master.csv</x:v>
      </x:c>
      <x:c r="B100" s="29" t="str">
        <x:v>furniturebench</x:v>
      </x:c>
      <x:c r="C100" s="29" t="str">
        <x:v>excluded_unverified_record</x:v>
      </x:c>
      <x:c r="D100" s="29" t="str"/>
      <x:c r="E100" s="29" t="str">
        <x:v>Record is manuscript-derived and lacks record-level primary-source URL, locator, and field-level verification.</x:v>
      </x:c>
    </x:row>
    <x:row r="101">
      <x:c r="A101" s="29" t="str">
        <x:v>corpus_master.csv</x:v>
      </x:c>
      <x:c r="B101" s="29" t="str">
        <x:v>colosseum</x:v>
      </x:c>
      <x:c r="C101" s="29" t="str">
        <x:v>excluded_unverified_record</x:v>
      </x:c>
      <x:c r="D101" s="29" t="str"/>
      <x:c r="E101" s="29" t="str">
        <x:v>Record is manuscript-derived and lacks record-level primary-source URL, locator, and field-level verification.</x:v>
      </x:c>
    </x:row>
    <x:row r="102">
      <x:c r="A102" s="29" t="str">
        <x:v>corpus_master.csv</x:v>
      </x:c>
      <x:c r="B102" s="29" t="str">
        <x:v>vlabench</x:v>
      </x:c>
      <x:c r="C102" s="29" t="str">
        <x:v>excluded_unverified_record</x:v>
      </x:c>
      <x:c r="D102" s="29" t="str"/>
      <x:c r="E102" s="29" t="str">
        <x:v>Record is manuscript-derived and lacks record-level primary-source URL, locator, and field-level verification.</x:v>
      </x:c>
    </x:row>
    <x:row r="103">
      <x:c r="A103" s="29" t="str">
        <x:v>corpus_master.csv</x:v>
      </x:c>
      <x:c r="B103" s="29" t="str">
        <x:v>rh20t</x:v>
      </x:c>
      <x:c r="C103" s="29" t="str">
        <x:v>excluded_unverified_record</x:v>
      </x:c>
      <x:c r="D103" s="29" t="str"/>
      <x:c r="E103" s="29" t="str">
        <x:v>Record is manuscript-derived and lacks record-level primary-source URL, locator, and field-level verification.</x:v>
      </x:c>
    </x:row>
    <x:row r="104">
      <x:c r="A104" s="29" t="str">
        <x:v>corpus_master.csv</x:v>
      </x:c>
      <x:c r="B104" s="29" t="str">
        <x:v>robomind</x:v>
      </x:c>
      <x:c r="C104" s="29" t="str">
        <x:v>excluded_unverified_record</x:v>
      </x:c>
      <x:c r="D104" s="29" t="str"/>
      <x:c r="E104" s="29" t="str">
        <x:v>Record is manuscript-derived and lacks record-level primary-source URL, locator, and field-level verification.</x:v>
      </x:c>
    </x:row>
    <x:row r="105">
      <x:c r="A105" s="29" t="str">
        <x:v>corpus_master.csv</x:v>
      </x:c>
      <x:c r="B105" s="29" t="str">
        <x:v>lapa</x:v>
      </x:c>
      <x:c r="C105" s="29" t="str">
        <x:v>excluded_unverified_record</x:v>
      </x:c>
      <x:c r="D105" s="29" t="str"/>
      <x:c r="E105" s="29" t="str">
        <x:v>Record is manuscript-derived and lacks record-level primary-source URL, locator, and field-level verification.</x:v>
      </x:c>
    </x:row>
    <x:row r="106">
      <x:c r="A106" s="29" t="str">
        <x:v>corpus_master.csv</x:v>
      </x:c>
      <x:c r="B106" s="29" t="str">
        <x:v>knowno</x:v>
      </x:c>
      <x:c r="C106" s="29" t="str">
        <x:v>excluded_unverified_record</x:v>
      </x:c>
      <x:c r="D106" s="29" t="str"/>
      <x:c r="E106" s="29" t="str">
        <x:v>Record is manuscript-derived and lacks record-level primary-source URL, locator, and field-level verification.</x:v>
      </x:c>
    </x:row>
    <x:row r="107">
      <x:c r="A107" s="29" t="str">
        <x:v>corpus_master.csv</x:v>
      </x:c>
      <x:c r="B107" s="29" t="str">
        <x:v>cbf</x:v>
      </x:c>
      <x:c r="C107" s="29" t="str">
        <x:v>excluded_unverified_record</x:v>
      </x:c>
      <x:c r="D107" s="29" t="str"/>
      <x:c r="E107" s="29" t="str">
        <x:v>Record is manuscript-derived and lacks record-level primary-source URL, locator, and field-level verification.</x:v>
      </x:c>
    </x:row>
    <x:row r="108">
      <x:c r="A108" s="29" t="str">
        <x:v>evidence_edges.csv</x:v>
      </x:c>
      <x:c r="B108" s="29" t="str">
        <x:v>E001</x:v>
      </x:c>
      <x:c r="C108" s="29" t="str">
        <x:v>excluded_unverified_edge</x:v>
      </x:c>
      <x:c r="D108" s="29" t="str"/>
      <x:c r="E108" s="29" t="str">
        <x:v>Edge is manuscript-derived; source locator, independent verification, and normalized evidence semantics are absent.</x:v>
      </x:c>
    </x:row>
    <x:row r="109">
      <x:c r="A109" s="29" t="str">
        <x:v>evidence_edges.csv</x:v>
      </x:c>
      <x:c r="B109" s="29" t="str">
        <x:v>E002</x:v>
      </x:c>
      <x:c r="C109" s="29" t="str">
        <x:v>excluded_unverified_edge</x:v>
      </x:c>
      <x:c r="D109" s="29" t="str"/>
      <x:c r="E109" s="29" t="str">
        <x:v>Edge is manuscript-derived; source locator, independent verification, and normalized evidence semantics are absent.</x:v>
      </x:c>
    </x:row>
    <x:row r="110">
      <x:c r="A110" s="29" t="str">
        <x:v>evidence_edges.csv</x:v>
      </x:c>
      <x:c r="B110" s="29" t="str">
        <x:v>E003</x:v>
      </x:c>
      <x:c r="C110" s="29" t="str">
        <x:v>excluded_unverified_edge</x:v>
      </x:c>
      <x:c r="D110" s="29" t="str"/>
      <x:c r="E110" s="29" t="str">
        <x:v>Edge is manuscript-derived; source locator, independent verification, and normalized evidence semantics are absent.</x:v>
      </x:c>
    </x:row>
    <x:row r="111">
      <x:c r="A111" s="29" t="str">
        <x:v>evidence_edges.csv</x:v>
      </x:c>
      <x:c r="B111" s="29" t="str">
        <x:v>E004</x:v>
      </x:c>
      <x:c r="C111" s="29" t="str">
        <x:v>excluded_unverified_edge</x:v>
      </x:c>
      <x:c r="D111" s="29" t="str"/>
      <x:c r="E111" s="29" t="str">
        <x:v>Edge is manuscript-derived; source locator, independent verification, and normalized evidence semantics are absent.</x:v>
      </x:c>
    </x:row>
    <x:row r="112">
      <x:c r="A112" s="29" t="str">
        <x:v>evidence_edges.csv</x:v>
      </x:c>
      <x:c r="B112" s="29" t="str">
        <x:v>E005</x:v>
      </x:c>
      <x:c r="C112" s="29" t="str">
        <x:v>excluded_unverified_edge</x:v>
      </x:c>
      <x:c r="D112" s="29" t="str"/>
      <x:c r="E112" s="29" t="str">
        <x:v>Edge is manuscript-derived; source locator, independent verification, and normalized evidence semantics are absent.</x:v>
      </x:c>
    </x:row>
    <x:row r="113">
      <x:c r="A113" s="29" t="str">
        <x:v>evidence_edges.csv</x:v>
      </x:c>
      <x:c r="B113" s="29" t="str">
        <x:v>E006</x:v>
      </x:c>
      <x:c r="C113" s="29" t="str">
        <x:v>excluded_unverified_edge</x:v>
      </x:c>
      <x:c r="D113" s="29" t="str"/>
      <x:c r="E113" s="29" t="str">
        <x:v>Edge is manuscript-derived; source locator, independent verification, and normalized evidence semantics are absent.</x:v>
      </x:c>
    </x:row>
    <x:row r="114">
      <x:c r="A114" s="29" t="str">
        <x:v>evidence_edges.csv</x:v>
      </x:c>
      <x:c r="B114" s="29" t="str">
        <x:v>E007</x:v>
      </x:c>
      <x:c r="C114" s="29" t="str">
        <x:v>excluded_unverified_edge</x:v>
      </x:c>
      <x:c r="D114" s="29" t="str"/>
      <x:c r="E114" s="29" t="str">
        <x:v>Edge is manuscript-derived; source locator, independent verification, and normalized evidence semantics are absent.</x:v>
      </x:c>
    </x:row>
    <x:row r="115">
      <x:c r="A115" s="29" t="str">
        <x:v>evidence_edges.csv</x:v>
      </x:c>
      <x:c r="B115" s="29" t="str">
        <x:v>E008</x:v>
      </x:c>
      <x:c r="C115" s="29" t="str">
        <x:v>excluded_unverified_edge</x:v>
      </x:c>
      <x:c r="D115" s="29" t="str"/>
      <x:c r="E115" s="29" t="str">
        <x:v>Edge is manuscript-derived; source locator, independent verification, and normalized evidence semantics are absent.</x:v>
      </x:c>
    </x:row>
    <x:row r="116">
      <x:c r="A116" s="29" t="str">
        <x:v>evidence_edges.csv</x:v>
      </x:c>
      <x:c r="B116" s="29" t="str">
        <x:v>E009</x:v>
      </x:c>
      <x:c r="C116" s="29" t="str">
        <x:v>excluded_unverified_edge</x:v>
      </x:c>
      <x:c r="D116" s="29" t="str"/>
      <x:c r="E116" s="29" t="str">
        <x:v>Edge is manuscript-derived; source locator, independent verification, and normalized evidence semantics are absent.</x:v>
      </x:c>
    </x:row>
    <x:row r="117">
      <x:c r="A117" s="29" t="str">
        <x:v>evidence_edges.csv</x:v>
      </x:c>
      <x:c r="B117" s="29" t="str">
        <x:v>E010</x:v>
      </x:c>
      <x:c r="C117" s="29" t="str">
        <x:v>excluded_unverified_edge</x:v>
      </x:c>
      <x:c r="D117" s="29" t="str"/>
      <x:c r="E117" s="29" t="str">
        <x:v>Edge is manuscript-derived; source locator, independent verification, and normalized evidence semantics are absent.</x:v>
      </x:c>
    </x:row>
    <x:row r="118">
      <x:c r="A118" s="29" t="str">
        <x:v>evidence_edges.csv</x:v>
      </x:c>
      <x:c r="B118" s="29" t="str">
        <x:v>E011</x:v>
      </x:c>
      <x:c r="C118" s="29" t="str">
        <x:v>excluded_unverified_edge</x:v>
      </x:c>
      <x:c r="D118" s="29" t="str"/>
      <x:c r="E118" s="29" t="str">
        <x:v>Edge is manuscript-derived; source locator, independent verification, and normalized evidence semantics are absent.</x:v>
      </x:c>
    </x:row>
    <x:row r="119">
      <x:c r="A119" s="29" t="str">
        <x:v>evidence_edges.csv</x:v>
      </x:c>
      <x:c r="B119" s="29" t="str">
        <x:v>E012</x:v>
      </x:c>
      <x:c r="C119" s="29" t="str">
        <x:v>excluded_unverified_edge</x:v>
      </x:c>
      <x:c r="D119" s="29" t="str"/>
      <x:c r="E119" s="29" t="str">
        <x:v>Edge is manuscript-derived; source locator, independent verification, and normalized evidence semantics are absent.</x:v>
      </x:c>
    </x:row>
    <x:row r="120">
      <x:c r="A120" s="29" t="str">
        <x:v>evidence_edges.csv</x:v>
      </x:c>
      <x:c r="B120" s="29" t="str">
        <x:v>E013</x:v>
      </x:c>
      <x:c r="C120" s="29" t="str">
        <x:v>excluded_unverified_edge</x:v>
      </x:c>
      <x:c r="D120" s="29" t="str"/>
      <x:c r="E120" s="29" t="str">
        <x:v>Edge is manuscript-derived; source locator, independent verification, and normalized evidence semantics are absent.</x:v>
      </x:c>
    </x:row>
    <x:row r="121">
      <x:c r="A121" s="29" t="str">
        <x:v>evidence_edges.csv</x:v>
      </x:c>
      <x:c r="B121" s="29" t="str">
        <x:v>E014</x:v>
      </x:c>
      <x:c r="C121" s="29" t="str">
        <x:v>excluded_unverified_edge</x:v>
      </x:c>
      <x:c r="D121" s="29" t="str"/>
      <x:c r="E121" s="29" t="str">
        <x:v>Edge is manuscript-derived; source locator, independent verification, and normalized evidence semantics are absent.</x:v>
      </x:c>
    </x:row>
    <x:row r="122">
      <x:c r="A122" s="29" t="str">
        <x:v>evidence_edges.csv</x:v>
      </x:c>
      <x:c r="B122" s="29" t="str">
        <x:v>E015</x:v>
      </x:c>
      <x:c r="C122" s="29" t="str">
        <x:v>excluded_unverified_edge</x:v>
      </x:c>
      <x:c r="D122" s="29" t="str"/>
      <x:c r="E122" s="29" t="str">
        <x:v>Edge is manuscript-derived; source locator, independent verification, and normalized evidence semantics are absent.</x:v>
      </x:c>
    </x:row>
    <x:row r="123">
      <x:c r="A123" s="29" t="str">
        <x:v>evidence_edges.csv</x:v>
      </x:c>
      <x:c r="B123" s="29" t="str">
        <x:v>E016</x:v>
      </x:c>
      <x:c r="C123" s="29" t="str">
        <x:v>excluded_unverified_edge</x:v>
      </x:c>
      <x:c r="D123" s="29" t="str"/>
      <x:c r="E123" s="29" t="str">
        <x:v>Edge is manuscript-derived; source locator, independent verification, and normalized evidence semantics are absent.</x:v>
      </x:c>
    </x:row>
    <x:row r="124">
      <x:c r="A124" s="29" t="str">
        <x:v>evidence_edges.csv</x:v>
      </x:c>
      <x:c r="B124" s="29" t="str">
        <x:v>E017</x:v>
      </x:c>
      <x:c r="C124" s="29" t="str">
        <x:v>excluded_unverified_edge</x:v>
      </x:c>
      <x:c r="D124" s="29" t="str"/>
      <x:c r="E124" s="29" t="str">
        <x:v>Edge is manuscript-derived; source locator, independent verification, and normalized evidence semantics are absent.</x:v>
      </x:c>
    </x:row>
    <x:row r="125">
      <x:c r="A125" s="29" t="str">
        <x:v>evidence_edges.csv</x:v>
      </x:c>
      <x:c r="B125" s="29" t="str">
        <x:v>E018</x:v>
      </x:c>
      <x:c r="C125" s="29" t="str">
        <x:v>excluded_unverified_edge</x:v>
      </x:c>
      <x:c r="D125" s="29" t="str"/>
      <x:c r="E125" s="29" t="str">
        <x:v>Edge is manuscript-derived; source locator, independent verification, and normalized evidence semantics are absent.</x:v>
      </x:c>
    </x:row>
    <x:row r="126">
      <x:c r="A126" s="29" t="str">
        <x:v>evidence_edges.csv</x:v>
      </x:c>
      <x:c r="B126" s="29" t="str">
        <x:v>E019</x:v>
      </x:c>
      <x:c r="C126" s="29" t="str">
        <x:v>excluded_unverified_edge</x:v>
      </x:c>
      <x:c r="D126" s="29" t="str"/>
      <x:c r="E126" s="29" t="str">
        <x:v>Edge is manuscript-derived; source locator, independent verification, and normalized evidence semantics are absent.</x:v>
      </x:c>
    </x:row>
    <x:row r="127">
      <x:c r="A127" s="29" t="str">
        <x:v>evidence_edges.csv</x:v>
      </x:c>
      <x:c r="B127" s="29" t="str">
        <x:v>E020</x:v>
      </x:c>
      <x:c r="C127" s="29" t="str">
        <x:v>excluded_unverified_edge</x:v>
      </x:c>
      <x:c r="D127" s="29" t="str"/>
      <x:c r="E127" s="29" t="str">
        <x:v>Edge is manuscript-derived; source locator, independent verification, and normalized evidence semantics are absent.</x:v>
      </x:c>
    </x:row>
    <x:row r="128">
      <x:c r="A128" s="29" t="str">
        <x:v>evidence_edges.csv</x:v>
      </x:c>
      <x:c r="B128" s="29" t="str">
        <x:v>E021</x:v>
      </x:c>
      <x:c r="C128" s="29" t="str">
        <x:v>excluded_unverified_edge</x:v>
      </x:c>
      <x:c r="D128" s="29" t="str"/>
      <x:c r="E128" s="29" t="str">
        <x:v>Edge is manuscript-derived; source locator, independent verification, and normalized evidence semantics are absent.</x:v>
      </x:c>
    </x:row>
    <x:row r="129">
      <x:c r="A129" s="29" t="str">
        <x:v>evidence_edges.csv</x:v>
      </x:c>
      <x:c r="B129" s="29" t="str">
        <x:v>E022</x:v>
      </x:c>
      <x:c r="C129" s="29" t="str">
        <x:v>excluded_unverified_edge</x:v>
      </x:c>
      <x:c r="D129" s="29" t="str"/>
      <x:c r="E129" s="29" t="str">
        <x:v>Edge is manuscript-derived; source locator, independent verification, and normalized evidence semantics are absent.</x:v>
      </x:c>
    </x:row>
    <x:row r="130">
      <x:c r="A130" s="29" t="str">
        <x:v>evidence_edges.csv</x:v>
      </x:c>
      <x:c r="B130" s="29" t="str">
        <x:v>E023</x:v>
      </x:c>
      <x:c r="C130" s="29" t="str">
        <x:v>excluded_unverified_edge</x:v>
      </x:c>
      <x:c r="D130" s="29" t="str"/>
      <x:c r="E130" s="29" t="str">
        <x:v>Edge is manuscript-derived; source locator, independent verification, and normalized evidence semantics are absent.</x:v>
      </x:c>
    </x:row>
    <x:row r="131">
      <x:c r="A131" s="29" t="str">
        <x:v>evidence_edges.csv</x:v>
      </x:c>
      <x:c r="B131" s="29" t="str">
        <x:v>E024</x:v>
      </x:c>
      <x:c r="C131" s="29" t="str">
        <x:v>excluded_unverified_edge</x:v>
      </x:c>
      <x:c r="D131" s="29" t="str"/>
      <x:c r="E131" s="29" t="str">
        <x:v>Edge is manuscript-derived; source locator, independent verification, and normalized evidence semantics are absent.</x:v>
      </x:c>
    </x:row>
    <x:row r="132">
      <x:c r="A132" s="29" t="str">
        <x:v>evidence_edges.csv</x:v>
      </x:c>
      <x:c r="B132" s="29" t="str">
        <x:v>E025</x:v>
      </x:c>
      <x:c r="C132" s="29" t="str">
        <x:v>excluded_unverified_edge</x:v>
      </x:c>
      <x:c r="D132" s="29" t="str"/>
      <x:c r="E132" s="29" t="str">
        <x:v>Edge is manuscript-derived; source locator, independent verification, and normalized evidence semantics are absent.</x:v>
      </x:c>
    </x:row>
    <x:row r="133">
      <x:c r="A133" s="29" t="str">
        <x:v>evidence_edges.csv</x:v>
      </x:c>
      <x:c r="B133" s="29" t="str">
        <x:v>E026</x:v>
      </x:c>
      <x:c r="C133" s="29" t="str">
        <x:v>excluded_unverified_edge</x:v>
      </x:c>
      <x:c r="D133" s="29" t="str"/>
      <x:c r="E133" s="29" t="str">
        <x:v>Edge is manuscript-derived; source locator, independent verification, and normalized evidence semantics are absent.</x:v>
      </x:c>
    </x:row>
    <x:row r="134">
      <x:c r="A134" s="29" t="str">
        <x:v>evidence_edges.csv</x:v>
      </x:c>
      <x:c r="B134" s="29" t="str">
        <x:v>E027</x:v>
      </x:c>
      <x:c r="C134" s="29" t="str">
        <x:v>excluded_unverified_edge</x:v>
      </x:c>
      <x:c r="D134" s="29" t="str"/>
      <x:c r="E134" s="29" t="str">
        <x:v>Edge is manuscript-derived; source locator, independent verification, and normalized evidence semantics are absent.</x:v>
      </x:c>
    </x:row>
    <x:row r="135">
      <x:c r="A135" s="29" t="str">
        <x:v>evidence_edges.csv</x:v>
      </x:c>
      <x:c r="B135" s="29" t="str">
        <x:v>E028</x:v>
      </x:c>
      <x:c r="C135" s="29" t="str">
        <x:v>excluded_unverified_edge</x:v>
      </x:c>
      <x:c r="D135" s="29" t="str"/>
      <x:c r="E135" s="29" t="str">
        <x:v>Edge is manuscript-derived; source locator, independent verification, and normalized evidence semantics are absent.</x:v>
      </x:c>
    </x:row>
    <x:row r="136">
      <x:c r="A136" s="29" t="str">
        <x:v>evidence_edges.csv</x:v>
      </x:c>
      <x:c r="B136" s="29" t="str">
        <x:v>E029</x:v>
      </x:c>
      <x:c r="C136" s="29" t="str">
        <x:v>excluded_unverified_edge</x:v>
      </x:c>
      <x:c r="D136" s="29" t="str"/>
      <x:c r="E136" s="29" t="str">
        <x:v>Edge is manuscript-derived; source locator, independent verification, and normalized evidence semantics are absent.</x:v>
      </x:c>
    </x:row>
    <x:row r="137">
      <x:c r="A137" s="29" t="str">
        <x:v>evidence_edges.csv</x:v>
      </x:c>
      <x:c r="B137" s="29" t="str">
        <x:v>E030</x:v>
      </x:c>
      <x:c r="C137" s="29" t="str">
        <x:v>excluded_unverified_edge</x:v>
      </x:c>
      <x:c r="D137" s="29" t="str"/>
      <x:c r="E137" s="29" t="str">
        <x:v>Edge is manuscript-derived; source locator, independent verification, and normalized evidence semantics are absent.</x:v>
      </x:c>
    </x:row>
    <x:row r="138">
      <x:c r="A138" s="29" t="str">
        <x:v>evidence_edges.csv</x:v>
      </x:c>
      <x:c r="B138" s="29" t="str">
        <x:v>E031</x:v>
      </x:c>
      <x:c r="C138" s="29" t="str">
        <x:v>excluded_unverified_edge</x:v>
      </x:c>
      <x:c r="D138" s="29" t="str"/>
      <x:c r="E138" s="29" t="str">
        <x:v>Edge is manuscript-derived; source locator, independent verification, and normalized evidence semantics are absent.</x:v>
      </x:c>
    </x:row>
    <x:row r="139">
      <x:c r="A139" s="29" t="str">
        <x:v>evidence_edges.csv</x:v>
      </x:c>
      <x:c r="B139" s="29" t="str">
        <x:v>E032</x:v>
      </x:c>
      <x:c r="C139" s="29" t="str">
        <x:v>excluded_unverified_edge</x:v>
      </x:c>
      <x:c r="D139" s="29" t="str"/>
      <x:c r="E139" s="29" t="str">
        <x:v>Edge is manuscript-derived; source locator, independent verification, and normalized evidence semantics are absent.</x:v>
      </x:c>
    </x:row>
    <x:row r="140">
      <x:c r="A140" s="29" t="str">
        <x:v>evidence_edges.csv</x:v>
      </x:c>
      <x:c r="B140" s="29" t="str">
        <x:v>E033</x:v>
      </x:c>
      <x:c r="C140" s="29" t="str">
        <x:v>excluded_unverified_edge</x:v>
      </x:c>
      <x:c r="D140" s="29" t="str"/>
      <x:c r="E140" s="29" t="str">
        <x:v>Edge is manuscript-derived; source locator, independent verification, and normalized evidence semantics are absent.</x:v>
      </x:c>
    </x:row>
    <x:row r="141">
      <x:c r="A141" s="29" t="str">
        <x:v>evidence_edges.csv</x:v>
      </x:c>
      <x:c r="B141" s="29" t="str">
        <x:v>E034</x:v>
      </x:c>
      <x:c r="C141" s="29" t="str">
        <x:v>excluded_unverified_edge</x:v>
      </x:c>
      <x:c r="D141" s="29" t="str"/>
      <x:c r="E141" s="29" t="str">
        <x:v>Edge is manuscript-derived; source locator, independent verification, and normalized evidence semantics are absent.</x:v>
      </x:c>
    </x:row>
    <x:row r="142">
      <x:c r="A142" s="29" t="str">
        <x:v>data_scaling.csv</x:v>
      </x:c>
      <x:c r="B142" s="29" t="str">
        <x:v>cosmos::Cosmos WFM</x:v>
      </x:c>
      <x:c r="C142" s="29" t="str">
        <x:v>retained_with_qualifier</x:v>
      </x:c>
      <x:c r="D142" s="29" t="str">
        <x:v>cosmos_raw</x:v>
      </x:c>
      <x:c r="E142" s="29" t="str">
        <x:v>Primary paper reports about 20M hours; encoded as approximate raw collection scale.</x:v>
      </x:c>
    </x:row>
    <x:row r="143">
      <x:c r="A143" s="29" t="str">
        <x:v>data_scaling.csv</x:v>
      </x:c>
      <x:c r="B143" s="29" t="str">
        <x:v>vjepa2::V-JEPA 2</x:v>
      </x:c>
      <x:c r="C143" s="29" t="str">
        <x:v>retained_with_qualifier</x:v>
      </x:c>
      <x:c r="D143" s="29" t="str">
        <x:v>vjepa2_pretrain</x:v>
      </x:c>
      <x:c r="E143" s="29" t="str">
        <x:v>Primary paper reports over 1M hours; encoded as a lower bound.</x:v>
      </x:c>
    </x:row>
    <x:row r="144">
      <x:c r="A144" s="29" t="str">
        <x:v>data_scaling.csv</x:v>
      </x:c>
      <x:c r="B144" s="29" t="str">
        <x:v>pi0::pi_0</x:v>
      </x:c>
      <x:c r="C144" s="29" t="str">
        <x:v>retained_with_qualifier</x:v>
      </x:c>
      <x:c r="D144" s="29" t="str">
        <x:v>pi0_pretrain</x:v>
      </x:c>
      <x:c r="E144" s="29" t="str">
        <x:v>Primary paper reports over 10,000 hours; encoded as a lower bound.</x:v>
      </x:c>
    </x:row>
    <x:row r="145">
      <x:c r="A145" s="29" t="str">
        <x:v>data_scaling.csv</x:v>
      </x:c>
      <x:c r="B145" s="29" t="str">
        <x:v>dreamer4::Dreamer 4</x:v>
      </x:c>
      <x:c r="C145" s="29" t="str">
        <x:v>corrected_and_split</x:v>
      </x:c>
      <x:c r="D145" s="29" t="str">
        <x:v>dreamer4_video;dreamer4_actions</x:v>
      </x:c>
      <x:c r="E145" s="29" t="str">
        <x:v>Video pool corrected to 2,541 hours; 100-hour paired-action condition represented separately.</x:v>
      </x:c>
    </x:row>
    <x:row r="146">
      <x:c r="A146" s="29" t="str">
        <x:v>data_scaling.csv</x:v>
      </x:c>
      <x:c r="B146" s="29" t="str">
        <x:v>rt1::RT-1</x:v>
      </x:c>
      <x:c r="C146" s="29" t="str">
        <x:v>excluded_author_estimate</x:v>
      </x:c>
      <x:c r="D146" s="29" t="str"/>
      <x:c r="E146" s="29" t="str">
        <x:v>The hour value is an episode-duration conversion, not a primary-source-reported measurement.</x:v>
      </x:c>
    </x:row>
    <x:row r="147">
      <x:c r="A147" s="29" t="str">
        <x:v>data_scaling.csv</x:v>
      </x:c>
      <x:c r="B147" s="29" t="str">
        <x:v>droid::DROID</x:v>
      </x:c>
      <x:c r="C147" s="29" t="str">
        <x:v>retained</x:v>
      </x:c>
      <x:c r="D147" s="29" t="str">
        <x:v>droid_full</x:v>
      </x:c>
      <x:c r="E147" s="29" t="str">
        <x:v>Primary paper reports 350 hours of interaction data.</x:v>
      </x:c>
    </x:row>
    <x:row r="148">
      <x:c r="A148" s="29" t="str">
        <x:v>data_scaling.csv</x:v>
      </x:c>
      <x:c r="B148" s="29" t="str">
        <x:v>vjepa2::V-JEPA 2-AC</x:v>
      </x:c>
      <x:c r="C148" s="29" t="str">
        <x:v>retained_with_qualifier</x:v>
      </x:c>
      <x:c r="D148" s="29" t="str">
        <x:v>vjepa2_ac</x:v>
      </x:c>
      <x:c r="E148" s="29" t="str">
        <x:v>Primary paper reports less than 62 hours; encoded as an upper bound.</x:v>
      </x:c>
    </x:row>
  </x:sheetData>
  <x:pageMargins left="0.7" right="0.7" top="0.75" bottom="0.75" header="0.3" footer="0.3"/>
  <x:tableParts count="1">
    <x:tablePart xmlns:r="http://schemas.openxmlformats.org/officeDocument/2006/relationships" r:id="Rd0c6f40b9136435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25.559999465942383" hidden="0" customWidth="1"/>
    <x:col min="3" max="3" width="21.110000610351562" hidden="0" customWidth="1"/>
    <x:col min="4" max="4" width="70" hidden="0" customWidth="1"/>
  </x:cols>
  <x:sheetData>
    <x:row r="1" ht="31.5" customHeight="1">
      <x:c r="A1" s="42" t="str">
        <x:v>input_file</x:v>
      </x:c>
      <x:c r="B1" s="42" t="str">
        <x:v>input_column</x:v>
      </x:c>
      <x:c r="C1" s="42" t="str">
        <x:v>decision</x:v>
      </x:c>
      <x:c r="D1" s="42" t="str">
        <x:v>reason</x:v>
      </x:c>
    </x:row>
    <x:row r="2">
      <x:c r="A2" s="29" t="str">
        <x:v>corpus_master.csv</x:v>
      </x:c>
      <x:c r="B2" s="29" t="str">
        <x:v>bib_key</x:v>
      </x:c>
      <x:c r="C2" s="29" t="str">
        <x:v>audit_identifier_only</x:v>
      </x:c>
      <x:c r="D2" s="29" t="str">
        <x:v>Retained only in the exclusion log, not as a scientific field.</x:v>
      </x:c>
    </x:row>
    <x:row r="3">
      <x:c r="A3" s="29" t="str">
        <x:v>corpus_master.csv</x:v>
      </x:c>
      <x:c r="B3" s="29" t="str">
        <x:v>system_name</x:v>
      </x:c>
      <x:c r="C3" s="29" t="str">
        <x:v>excluded</x:v>
      </x:c>
      <x:c r="D3" s="29" t="str">
        <x:v>No field-level primary-source URL, locator, and independent verification in the submitted CSV.</x:v>
      </x:c>
    </x:row>
    <x:row r="4">
      <x:c r="A4" s="29" t="str">
        <x:v>corpus_master.csv</x:v>
      </x:c>
      <x:c r="B4" s="29" t="str">
        <x:v>family</x:v>
      </x:c>
      <x:c r="C4" s="29" t="str">
        <x:v>excluded</x:v>
      </x:c>
      <x:c r="D4" s="29" t="str">
        <x:v>No field-level primary-source URL, locator, and independent verification in the submitted CSV.</x:v>
      </x:c>
    </x:row>
    <x:row r="5">
      <x:c r="A5" s="29" t="str">
        <x:v>corpus_master.csv</x:v>
      </x:c>
      <x:c r="B5" s="29" t="str">
        <x:v>year</x:v>
      </x:c>
      <x:c r="C5" s="29" t="str">
        <x:v>excluded</x:v>
      </x:c>
      <x:c r="D5" s="29" t="str">
        <x:v>No field-level primary-source URL, locator, and independent verification in the submitted CSV.</x:v>
      </x:c>
    </x:row>
    <x:row r="6">
      <x:c r="A6" s="29" t="str">
        <x:v>corpus_master.csv</x:v>
      </x:c>
      <x:c r="B6" s="29" t="str">
        <x:v>primary_group</x:v>
      </x:c>
      <x:c r="C6" s="29" t="str">
        <x:v>excluded</x:v>
      </x:c>
      <x:c r="D6" s="29" t="str">
        <x:v>No field-level primary-source URL, locator, and independent verification in the submitted CSV.</x:v>
      </x:c>
    </x:row>
    <x:row r="7">
      <x:c r="A7" s="29" t="str">
        <x:v>corpus_master.csv</x:v>
      </x:c>
      <x:c r="B7" s="29" t="str">
        <x:v>secondary_labels</x:v>
      </x:c>
      <x:c r="C7" s="29" t="str">
        <x:v>excluded</x:v>
      </x:c>
      <x:c r="D7" s="29" t="str">
        <x:v>No field-level primary-source URL, locator, and independent verification in the submitted CSV.</x:v>
      </x:c>
    </x:row>
    <x:row r="8">
      <x:c r="A8" s="29" t="str">
        <x:v>corpus_master.csv</x:v>
      </x:c>
      <x:c r="B8" s="29" t="str">
        <x:v>wm_role_label</x:v>
      </x:c>
      <x:c r="C8" s="29" t="str">
        <x:v>excluded</x:v>
      </x:c>
      <x:c r="D8" s="29" t="str">
        <x:v>No field-level primary-source URL, locator, and independent verification in the submitted CSV.</x:v>
      </x:c>
    </x:row>
    <x:row r="9">
      <x:c r="A9" s="29" t="str">
        <x:v>corpus_master.csv</x:v>
      </x:c>
      <x:c r="B9" s="29" t="str">
        <x:v>corpus_status</x:v>
      </x:c>
      <x:c r="C9" s="29" t="str">
        <x:v>excluded</x:v>
      </x:c>
      <x:c r="D9" s="29" t="str">
        <x:v>No field-level primary-source URL, locator, and independent verification in the submitted CSV.</x:v>
      </x:c>
    </x:row>
    <x:row r="10">
      <x:c r="A10" s="29" t="str">
        <x:v>corpus_master.csv</x:v>
      </x:c>
      <x:c r="B10" s="29" t="str">
        <x:v>backbone_or_substrate</x:v>
      </x:c>
      <x:c r="C10" s="29" t="str">
        <x:v>excluded</x:v>
      </x:c>
      <x:c r="D10" s="29" t="str">
        <x:v>No field-level primary-source URL, locator, and independent verification in the submitted CSV.</x:v>
      </x:c>
    </x:row>
    <x:row r="11">
      <x:c r="A11" s="29" t="str">
        <x:v>corpus_master.csv</x:v>
      </x:c>
      <x:c r="B11" s="29" t="str">
        <x:v>action_representation</x:v>
      </x:c>
      <x:c r="C11" s="29" t="str">
        <x:v>excluded</x:v>
      </x:c>
      <x:c r="D11" s="29" t="str">
        <x:v>No field-level primary-source URL, locator, and independent verification in the submitted CSV.</x:v>
      </x:c>
    </x:row>
    <x:row r="12">
      <x:c r="A12" s="29" t="str">
        <x:v>corpus_master.csv</x:v>
      </x:c>
      <x:c r="B12" s="29" t="str">
        <x:v>state_space</x:v>
      </x:c>
      <x:c r="C12" s="29" t="str">
        <x:v>excluded</x:v>
      </x:c>
      <x:c r="D12" s="29" t="str">
        <x:v>No field-level primary-source URL, locator, and independent verification in the submitted CSV.</x:v>
      </x:c>
    </x:row>
    <x:row r="13">
      <x:c r="A13" s="29" t="str">
        <x:v>corpus_master.csv</x:v>
      </x:c>
      <x:c r="B13" s="29" t="str">
        <x:v>action_conditioned</x:v>
      </x:c>
      <x:c r="C13" s="29" t="str">
        <x:v>excluded</x:v>
      </x:c>
      <x:c r="D13" s="29" t="str">
        <x:v>No field-level primary-source URL, locator, and independent verification in the submitted CSV.</x:v>
      </x:c>
    </x:row>
    <x:row r="14">
      <x:c r="A14" s="29" t="str">
        <x:v>corpus_master.csv</x:v>
      </x:c>
      <x:c r="B14" s="29" t="str">
        <x:v>interactive_closed_loop</x:v>
      </x:c>
      <x:c r="C14" s="29" t="str">
        <x:v>excluded</x:v>
      </x:c>
      <x:c r="D14" s="29" t="str">
        <x:v>No field-level primary-source URL, locator, and independent verification in the submitted CSV.</x:v>
      </x:c>
    </x:row>
    <x:row r="15">
      <x:c r="A15" s="29" t="str">
        <x:v>corpus_master.csv</x:v>
      </x:c>
      <x:c r="B15" s="29" t="str">
        <x:v>provenance_tag</x:v>
      </x:c>
      <x:c r="C15" s="29" t="str">
        <x:v>excluded</x:v>
      </x:c>
      <x:c r="D15" s="29" t="str">
        <x:v>No field-level primary-source URL, locator, and independent verification in the submitted CSV.</x:v>
      </x:c>
    </x:row>
    <x:row r="16">
      <x:c r="A16" s="29" t="str">
        <x:v>corpus_master.csv</x:v>
      </x:c>
      <x:c r="B16" s="29" t="str">
        <x:v>publication_status</x:v>
      </x:c>
      <x:c r="C16" s="29" t="str">
        <x:v>excluded</x:v>
      </x:c>
      <x:c r="D16" s="29" t="str">
        <x:v>No field-level primary-source URL, locator, and independent verification in the submitted CSV.</x:v>
      </x:c>
    </x:row>
    <x:row r="17">
      <x:c r="A17" s="29" t="str">
        <x:v>corpus_master.csv</x:v>
      </x:c>
      <x:c r="B17" s="29" t="str">
        <x:v>open_weights</x:v>
      </x:c>
      <x:c r="C17" s="29" t="str">
        <x:v>excluded</x:v>
      </x:c>
      <x:c r="D17" s="29" t="str">
        <x:v>No field-level primary-source URL, locator, and independent verification in the submitted CSV.</x:v>
      </x:c>
    </x:row>
    <x:row r="18">
      <x:c r="A18" s="29" t="str">
        <x:v>corpus_master.csv</x:v>
      </x:c>
      <x:c r="B18" s="29" t="str">
        <x:v>open_code</x:v>
      </x:c>
      <x:c r="C18" s="29" t="str">
        <x:v>excluded</x:v>
      </x:c>
      <x:c r="D18" s="29" t="str">
        <x:v>No field-level primary-source URL, locator, and independent verification in the submitted CSV.</x:v>
      </x:c>
    </x:row>
    <x:row r="19">
      <x:c r="A19" s="29" t="str">
        <x:v>corpus_master.csv</x:v>
      </x:c>
      <x:c r="B19" s="29" t="str">
        <x:v>open_data</x:v>
      </x:c>
      <x:c r="C19" s="29" t="str">
        <x:v>excluded</x:v>
      </x:c>
      <x:c r="D19" s="29" t="str">
        <x:v>No field-level primary-source URL, locator, and independent verification in the submitted CSV.</x:v>
      </x:c>
    </x:row>
    <x:row r="20">
      <x:c r="A20" s="29" t="str">
        <x:v>corpus_master.csv</x:v>
      </x:c>
      <x:c r="B20" s="29" t="str">
        <x:v>license</x:v>
      </x:c>
      <x:c r="C20" s="29" t="str">
        <x:v>excluded</x:v>
      </x:c>
      <x:c r="D20" s="29" t="str">
        <x:v>No field-level primary-source URL, locator, and independent verification in the submitted CSV.</x:v>
      </x:c>
    </x:row>
    <x:row r="21">
      <x:c r="A21" s="29" t="str">
        <x:v>corpus_master.csv</x:v>
      </x:c>
      <x:c r="B21" s="29" t="str">
        <x:v>real_robot_eval</x:v>
      </x:c>
      <x:c r="C21" s="29" t="str">
        <x:v>excluded</x:v>
      </x:c>
      <x:c r="D21" s="29" t="str">
        <x:v>No field-level primary-source URL, locator, and independent verification in the submitted CSV.</x:v>
      </x:c>
    </x:row>
    <x:row r="22">
      <x:c r="A22" s="29" t="str">
        <x:v>corpus_master.csv</x:v>
      </x:c>
      <x:c r="B22" s="29" t="str">
        <x:v>sim_eval</x:v>
      </x:c>
      <x:c r="C22" s="29" t="str">
        <x:v>excluded</x:v>
      </x:c>
      <x:c r="D22" s="29" t="str">
        <x:v>No field-level primary-source URL, locator, and independent verification in the submitted CSV.</x:v>
      </x:c>
    </x:row>
    <x:row r="23">
      <x:c r="A23" s="29" t="str">
        <x:v>corpus_master.csv</x:v>
      </x:c>
      <x:c r="B23" s="29" t="str">
        <x:v>embodiments</x:v>
      </x:c>
      <x:c r="C23" s="29" t="str">
        <x:v>excluded</x:v>
      </x:c>
      <x:c r="D23" s="29" t="str">
        <x:v>No field-level primary-source URL, locator, and independent verification in the submitted CSV.</x:v>
      </x:c>
    </x:row>
    <x:row r="24">
      <x:c r="A24" s="29" t="str">
        <x:v>corpus_master.csv</x:v>
      </x:c>
      <x:c r="B24" s="29" t="str">
        <x:v>benchmarks_used</x:v>
      </x:c>
      <x:c r="C24" s="29" t="str">
        <x:v>excluded</x:v>
      </x:c>
      <x:c r="D24" s="29" t="str">
        <x:v>No field-level primary-source URL, locator, and independent verification in the submitted CSV.</x:v>
      </x:c>
    </x:row>
    <x:row r="25">
      <x:c r="A25" s="29" t="str">
        <x:v>corpus_master.csv</x:v>
      </x:c>
      <x:c r="B25" s="29" t="str">
        <x:v>headline_metric</x:v>
      </x:c>
      <x:c r="C25" s="29" t="str">
        <x:v>excluded</x:v>
      </x:c>
      <x:c r="D25" s="29" t="str">
        <x:v>No field-level primary-source URL, locator, and independent verification in the submitted CSV.</x:v>
      </x:c>
    </x:row>
    <x:row r="26">
      <x:c r="A26" s="29" t="str">
        <x:v>corpus_master.csv</x:v>
      </x:c>
      <x:c r="B26" s="29" t="str">
        <x:v>headline_value</x:v>
      </x:c>
      <x:c r="C26" s="29" t="str">
        <x:v>excluded</x:v>
      </x:c>
      <x:c r="D26" s="29" t="str">
        <x:v>No field-level primary-source URL, locator, and independent verification in the submitted CSV.</x:v>
      </x:c>
    </x:row>
    <x:row r="27">
      <x:c r="A27" s="29" t="str">
        <x:v>corpus_master.csv</x:v>
      </x:c>
      <x:c r="B27" s="29" t="str">
        <x:v>protocol_notes</x:v>
      </x:c>
      <x:c r="C27" s="29" t="str">
        <x:v>excluded</x:v>
      </x:c>
      <x:c r="D27" s="29" t="str">
        <x:v>No field-level primary-source URL, locator, and independent verification in the submitted CSV.</x:v>
      </x:c>
    </x:row>
    <x:row r="28">
      <x:c r="A28" s="29" t="str">
        <x:v>corpus_master.csv</x:v>
      </x:c>
      <x:c r="B28" s="29" t="str">
        <x:v>row_source</x:v>
      </x:c>
      <x:c r="C28" s="29" t="str">
        <x:v>excluded</x:v>
      </x:c>
      <x:c r="D28" s="29" t="str">
        <x:v>No field-level primary-source URL, locator, and independent verification in the submitted CSV.</x:v>
      </x:c>
    </x:row>
    <x:row r="29">
      <x:c r="A29" s="29" t="str">
        <x:v>corpus_master.csv</x:v>
      </x:c>
      <x:c r="B29" s="29" t="str">
        <x:v>verify_status</x:v>
      </x:c>
      <x:c r="C29" s="29" t="str">
        <x:v>excluded</x:v>
      </x:c>
      <x:c r="D29" s="29" t="str">
        <x:v>No field-level primary-source URL, locator, and independent verification in the submitted CSV.</x:v>
      </x:c>
    </x:row>
    <x:row r="30">
      <x:c r="A30" s="29" t="str">
        <x:v>evidence_edges.csv</x:v>
      </x:c>
      <x:c r="B30" s="29" t="str">
        <x:v>edge_id</x:v>
      </x:c>
      <x:c r="C30" s="29" t="str">
        <x:v>audit_identifier_only</x:v>
      </x:c>
      <x:c r="D30" s="29" t="str">
        <x:v>Retained only in the exclusion log, not as a scientific field.</x:v>
      </x:c>
    </x:row>
    <x:row r="31">
      <x:c r="A31" s="29" t="str">
        <x:v>evidence_edges.csv</x:v>
      </x:c>
      <x:c r="B31" s="29" t="str">
        <x:v>limitation</x:v>
      </x:c>
      <x:c r="C31" s="29" t="str">
        <x:v>excluded</x:v>
      </x:c>
      <x:c r="D31" s="29" t="str">
        <x:v>No field-level primary-source URL, locator, and independent verification in the submitted CSV.</x:v>
      </x:c>
    </x:row>
    <x:row r="32">
      <x:c r="A32" s="29" t="str">
        <x:v>evidence_edges.csv</x:v>
      </x:c>
      <x:c r="B32" s="29" t="str">
        <x:v>mechanism</x:v>
      </x:c>
      <x:c r="C32" s="29" t="str">
        <x:v>excluded</x:v>
      </x:c>
      <x:c r="D32" s="29" t="str">
        <x:v>No field-level primary-source URL, locator, and independent verification in the submitted CSV.</x:v>
      </x:c>
    </x:row>
    <x:row r="33">
      <x:c r="A33" s="29" t="str">
        <x:v>evidence_edges.csv</x:v>
      </x:c>
      <x:c r="B33" s="29" t="str">
        <x:v>mechanism_group</x:v>
      </x:c>
      <x:c r="C33" s="29" t="str">
        <x:v>excluded</x:v>
      </x:c>
      <x:c r="D33" s="29" t="str">
        <x:v>No field-level primary-source URL, locator, and independent verification in the submitted CSV.</x:v>
      </x:c>
    </x:row>
    <x:row r="34">
      <x:c r="A34" s="29" t="str">
        <x:v>evidence_edges.csv</x:v>
      </x:c>
      <x:c r="B34" s="29" t="str">
        <x:v>bib_key</x:v>
      </x:c>
      <x:c r="C34" s="29" t="str">
        <x:v>audit_identifier_only</x:v>
      </x:c>
      <x:c r="D34" s="29" t="str">
        <x:v>Used only to trace the rejected edge to its manuscript record.</x:v>
      </x:c>
    </x:row>
    <x:row r="35">
      <x:c r="A35" s="29" t="str">
        <x:v>evidence_edges.csv</x:v>
      </x:c>
      <x:c r="B35" s="29" t="str">
        <x:v>system</x:v>
      </x:c>
      <x:c r="C35" s="29" t="str">
        <x:v>excluded</x:v>
      </x:c>
      <x:c r="D35" s="29" t="str">
        <x:v>No field-level primary-source URL, locator, and independent verification in the submitted CSV.</x:v>
      </x:c>
    </x:row>
    <x:row r="36">
      <x:c r="A36" s="29" t="str">
        <x:v>evidence_edges.csv</x:v>
      </x:c>
      <x:c r="B36" s="29" t="str">
        <x:v>directness</x:v>
      </x:c>
      <x:c r="C36" s="29" t="str">
        <x:v>excluded</x:v>
      </x:c>
      <x:c r="D36" s="29" t="str">
        <x:v>No field-level primary-source URL, locator, and independent verification in the submitted CSV.</x:v>
      </x:c>
    </x:row>
    <x:row r="37">
      <x:c r="A37" s="29" t="str">
        <x:v>evidence_edges.csv</x:v>
      </x:c>
      <x:c r="B37" s="29" t="str">
        <x:v>sub_mechanism</x:v>
      </x:c>
      <x:c r="C37" s="29" t="str">
        <x:v>excluded</x:v>
      </x:c>
      <x:c r="D37" s="29" t="str">
        <x:v>No field-level primary-source URL, locator, and independent verification in the submitted CSV.</x:v>
      </x:c>
    </x:row>
    <x:row r="38">
      <x:c r="A38" s="29" t="str">
        <x:v>evidence_edges.csv</x:v>
      </x:c>
      <x:c r="B38" s="29" t="str">
        <x:v>matched_ablation</x:v>
      </x:c>
      <x:c r="C38" s="29" t="str">
        <x:v>excluded</x:v>
      </x:c>
      <x:c r="D38" s="29" t="str">
        <x:v>No field-level primary-source URL, locator, and independent verification in the submitted CSV.</x:v>
      </x:c>
    </x:row>
    <x:row r="39">
      <x:c r="A39" s="29" t="str">
        <x:v>evidence_edges.csv</x:v>
      </x:c>
      <x:c r="B39" s="29" t="str">
        <x:v>real_robot</x:v>
      </x:c>
      <x:c r="C39" s="29" t="str">
        <x:v>excluded</x:v>
      </x:c>
      <x:c r="D39" s="29" t="str">
        <x:v>No field-level primary-source URL, locator, and independent verification in the submitted CSV.</x:v>
      </x:c>
    </x:row>
    <x:row r="40">
      <x:c r="A40" s="29" t="str">
        <x:v>evidence_edges.csv</x:v>
      </x:c>
      <x:c r="B40" s="29" t="str">
        <x:v>quantitative_claim</x:v>
      </x:c>
      <x:c r="C40" s="29" t="str">
        <x:v>excluded</x:v>
      </x:c>
      <x:c r="D40" s="29" t="str">
        <x:v>No field-level primary-source URL, locator, and independent verification in the submitted CSV.</x:v>
      </x:c>
    </x:row>
    <x:row r="41">
      <x:c r="A41" s="29" t="str">
        <x:v>evidence_edges.csv</x:v>
      </x:c>
      <x:c r="B41" s="29" t="str">
        <x:v>provenance_tag</x:v>
      </x:c>
      <x:c r="C41" s="29" t="str">
        <x:v>excluded</x:v>
      </x:c>
      <x:c r="D41" s="29" t="str">
        <x:v>No field-level primary-source URL, locator, and independent verification in the submitted CSV.</x:v>
      </x:c>
    </x:row>
    <x:row r="42">
      <x:c r="A42" s="29" t="str">
        <x:v>evidence_edges.csv</x:v>
      </x:c>
      <x:c r="B42" s="29" t="str">
        <x:v>null_or_adverse</x:v>
      </x:c>
      <x:c r="C42" s="29" t="str">
        <x:v>excluded</x:v>
      </x:c>
      <x:c r="D42" s="29" t="str">
        <x:v>No field-level primary-source URL, locator, and independent verification in the submitted CSV.</x:v>
      </x:c>
    </x:row>
    <x:row r="43">
      <x:c r="A43" s="29" t="str">
        <x:v>evidence_edges.csv</x:v>
      </x:c>
      <x:c r="B43" s="29" t="str">
        <x:v>in_main_matrix</x:v>
      </x:c>
      <x:c r="C43" s="29" t="str">
        <x:v>excluded</x:v>
      </x:c>
      <x:c r="D43" s="29" t="str">
        <x:v>No field-level primary-source URL, locator, and independent verification in the submitted CSV.</x:v>
      </x:c>
    </x:row>
    <x:row r="44">
      <x:c r="A44" s="29" t="str">
        <x:v>evidence_edges.csv</x:v>
      </x:c>
      <x:c r="B44" s="29" t="str">
        <x:v>notes</x:v>
      </x:c>
      <x:c r="C44" s="29" t="str">
        <x:v>excluded</x:v>
      </x:c>
      <x:c r="D44" s="29" t="str">
        <x:v>No field-level primary-source URL, locator, and independent verification in the submitted CSV.</x:v>
      </x:c>
    </x:row>
    <x:row r="45">
      <x:c r="A45" s="29" t="str">
        <x:v>evidence_edges.csv</x:v>
      </x:c>
      <x:c r="B45" s="29" t="str">
        <x:v>verify_status</x:v>
      </x:c>
      <x:c r="C45" s="29" t="str">
        <x:v>excluded</x:v>
      </x:c>
      <x:c r="D45" s="29" t="str">
        <x:v>No field-level primary-source URL, locator, and independent verification in the submitted CSV.</x:v>
      </x:c>
    </x:row>
    <x:row r="46">
      <x:c r="A46" s="29" t="str">
        <x:v>data_scaling.csv</x:v>
      </x:c>
      <x:c r="B46" s="29" t="str">
        <x:v>bib_key</x:v>
      </x:c>
      <x:c r="C46" s="29" t="str">
        <x:v>mapped</x:v>
      </x:c>
      <x:c r="D46" s="29" t="str">
        <x:v>Mapped to a normalized verified record identifier.</x:v>
      </x:c>
    </x:row>
    <x:row r="47">
      <x:c r="A47" s="29" t="str">
        <x:v>data_scaling.csv</x:v>
      </x:c>
      <x:c r="B47" s="29" t="str">
        <x:v>system</x:v>
      </x:c>
      <x:c r="C47" s="29" t="str">
        <x:v>verified_or_corrected</x:v>
      </x:c>
      <x:c r="D47" s="29" t="str">
        <x:v>Checked against the primary paper title/system name.</x:v>
      </x:c>
    </x:row>
    <x:row r="48">
      <x:c r="A48" s="29" t="str">
        <x:v>data_scaling.csv</x:v>
      </x:c>
      <x:c r="B48" s="29" t="str">
        <x:v>category</x:v>
      </x:c>
      <x:c r="C48" s="29" t="str">
        <x:v>standardized</x:v>
      </x:c>
      <x:c r="D48" s="29" t="str">
        <x:v>Replaced with a source-consistent data_role and measurement_scope.</x:v>
      </x:c>
    </x:row>
    <x:row r="49">
      <x:c r="A49" s="29" t="str">
        <x:v>data_scaling.csv</x:v>
      </x:c>
      <x:c r="B49" s="29" t="str">
        <x:v>hours</x:v>
      </x:c>
      <x:c r="C49" s="29" t="str">
        <x:v>verified_or_corrected</x:v>
      </x:c>
      <x:c r="D49" s="29" t="str">
        <x:v>Retained only with exact bound semantics and corrected values.</x:v>
      </x:c>
    </x:row>
    <x:row r="50">
      <x:c r="A50" s="29" t="str">
        <x:v>data_scaling.csv</x:v>
      </x:c>
      <x:c r="B50" s="29" t="str">
        <x:v>basis</x:v>
      </x:c>
      <x:c r="C50" s="29" t="str">
        <x:v>replaced</x:v>
      </x:c>
      <x:c r="D50" s="29" t="str">
        <x:v>Replaced by source_version, source_locator, and source_url.</x:v>
      </x:c>
    </x:row>
    <x:row r="51">
      <x:c r="A51" s="29" t="str">
        <x:v>data_scaling.csv</x:v>
      </x:c>
      <x:c r="B51" s="29" t="str">
        <x:v>provenance_tag</x:v>
      </x:c>
      <x:c r="C51" s="29" t="str">
        <x:v>excluded</x:v>
      </x:c>
      <x:c r="D51" s="29" t="str">
        <x:v>A V/R/P tag is not field-level verification evidence.</x:v>
      </x:c>
    </x:row>
    <x:row r="52">
      <x:c r="A52" s="29" t="str">
        <x:v>data_scaling.csv</x:v>
      </x:c>
      <x:c r="B52" s="29" t="str">
        <x:v>note</x:v>
      </x:c>
      <x:c r="C52" s="29" t="str">
        <x:v>excluded_or_replaced</x:v>
      </x:c>
      <x:c r="D52" s="29" t="str">
        <x:v>Unsupported ratios and estimates were removed; source-backed scope is recorded separately.</x:v>
      </x:c>
    </x:row>
  </x:sheetData>
  <x:pageMargins left="0.7" right="0.7" top="0.75" bottom="0.75" header="0.3" footer="0.3"/>
  <x:tableParts count="1">
    <x:tablePart xmlns:r="http://schemas.openxmlformats.org/officeDocument/2006/relationships" r:id="R76b97736432b484d"/>
  </x:tableParts>
</x:worksheet>
</file>

<file path=xl/worksheets/sheet9.xml><?xml version="1.0" encoding="utf-8"?>
<x:worksheet xmlns:x="http://schemas.openxmlformats.org/spreadsheetml/2006/main">
  <x:sheetViews>
    <x:sheetView showGridLines="0" workbookViewId="0"/>
  </x:sheetViews>
  <x:sheetFormatPr defaultRowHeight="15"/>
  <x:cols>
    <x:col min="1" max="1" width="37.779998779296875" hidden="0" customWidth="1"/>
    <x:col min="2" max="2" width="13.890000343322754" hidden="0" customWidth="1"/>
    <x:col min="3" max="3" width="13.890000343322754" hidden="0" customWidth="1"/>
    <x:col min="4" max="4" width="2.6700000762939453" hidden="0" customWidth="1"/>
    <x:col min="5" max="5" width="9.5600004196167" hidden="0" customWidth="1"/>
    <x:col min="6" max="6" width="9.5600004196167" hidden="0" customWidth="1"/>
    <x:col min="7" max="7" width="9.5600004196167" hidden="0" customWidth="1"/>
    <x:col min="8" max="8" width="9.5600004196167" hidden="0" customWidth="1"/>
    <x:col min="9" max="9" width="9.5600004196167" hidden="0" customWidth="1"/>
    <x:col min="10" max="10" width="9.5600004196167" hidden="0" customWidth="1"/>
    <x:col min="11" max="11" width="9.5600004196167" hidden="0" customWidth="1"/>
    <x:col min="12" max="12" width="9.5600004196167" hidden="0" customWidth="1"/>
    <x:col min="13" max="13" width="9.5600004196167" hidden="0" customWidth="1"/>
  </x:cols>
  <x:sheetData>
    <x:row r="1">
      <x:c r="A1" s="43" t="str">
        <x:v>Publication-ready figures generated from verified-only data</x:v>
      </x:c>
      <x:c r="B1" s="43"/>
      <x:c r="C1" s="43"/>
      <x:c r="D1" s="43"/>
      <x:c r="E1" s="43"/>
      <x:c r="F1" s="43"/>
      <x:c r="G1" s="43"/>
      <x:c r="H1" s="43"/>
      <x:c r="I1" s="43"/>
      <x:c r="J1" s="43"/>
      <x:c r="K1" s="43"/>
      <x:c r="L1" s="43"/>
      <x:c r="M1" s="43"/>
    </x:row>
    <x:row r="2">
      <x:c r="A2" s="17" t="str">
        <x:v>Vector PDFs and 600-dpi PNGs are included separately in the final package.</x:v>
      </x:c>
      <x:c r="B2" s="17"/>
      <x:c r="C2" s="17"/>
      <x:c r="D2" s="17"/>
      <x:c r="E2" s="17"/>
      <x:c r="F2" s="17"/>
      <x:c r="G2" s="17"/>
      <x:c r="H2" s="17"/>
      <x:c r="I2" s="17"/>
      <x:c r="J2" s="17"/>
      <x:c r="K2" s="17"/>
      <x:c r="L2" s="17"/>
      <x:c r="M2" s="17"/>
    </x:row>
    <x:row r="4" ht="31.5" customHeight="1">
      <x:c r="A4" s="28" t="str">
        <x:v>Scale label</x:v>
      </x:c>
      <x:c r="B4" s="28" t="str">
        <x:v>log10(hours)</x:v>
      </x:c>
      <x:c r="C4" s="28" t="str">
        <x:v>bound type</x:v>
      </x:c>
    </x:row>
    <x:row r="5">
      <x:c r="A5" s="29" t="str">
        <x:f>'Verified Data Scale'!B2&amp;" — "&amp;'Verified Data Scale'!C2</x:f>
        <x:v>Cosmos WFM — raw candidate video collection</x:v>
      </x:c>
      <x:c r="B5" s="33" t="n">
        <x:f>'Verified Data Scale'!L2</x:f>
        <x:v>7.30102999566398</x:v>
      </x:c>
      <x:c r="C5" s="29" t="str">
        <x:f>'Verified Data Scale'!F2</x:f>
        <x:v>approximate</x:v>
      </x:c>
    </x:row>
    <x:row r="6">
      <x:c r="A6" s="29" t="str">
        <x:f>'Verified Data Scale'!B3&amp;" — "&amp;'Verified Data Scale'!C3</x:f>
        <x:v>V-JEPA 2 — internet-video pretraining pool</x:v>
      </x:c>
      <x:c r="B6" s="33" t="n">
        <x:f>'Verified Data Scale'!L3</x:f>
        <x:v>6</x:v>
      </x:c>
      <x:c r="C6" s="29" t="str">
        <x:f>'Verified Data Scale'!F3</x:f>
        <x:v>lower_bound</x:v>
      </x:c>
    </x:row>
    <x:row r="7">
      <x:c r="A7" s="29" t="str">
        <x:f>'Verified Data Scale'!B4&amp;" — "&amp;'Verified Data Scale'!C4</x:f>
        <x:v>pi_0 — robot-data pretraining mixture</x:v>
      </x:c>
      <x:c r="B7" s="33" t="n">
        <x:f>'Verified Data Scale'!L4</x:f>
        <x:v>4</x:v>
      </x:c>
      <x:c r="C7" s="29" t="str">
        <x:f>'Verified Data Scale'!F4</x:f>
        <x:v>lower_bound</x:v>
      </x:c>
    </x:row>
    <x:row r="8">
      <x:c r="A8" s="29" t="str">
        <x:f>'Verified Data Scale'!B5&amp;" — "&amp;'Verified Data Scale'!C5</x:f>
        <x:v>Dreamer 4 — VPT gameplay-video pool</x:v>
      </x:c>
      <x:c r="B8" s="33" t="n">
        <x:f>'Verified Data Scale'!L5</x:f>
        <x:v>3.40500466505037</x:v>
      </x:c>
      <x:c r="C8" s="29" t="str">
        <x:f>'Verified Data Scale'!F5</x:f>
        <x:v>exact</x:v>
      </x:c>
    </x:row>
    <x:row r="9">
      <x:c r="A9" s="29" t="str">
        <x:f>'Verified Data Scale'!B6&amp;" — "&amp;'Verified Data Scale'!C6</x:f>
        <x:v>DROID — full robot-interaction dataset</x:v>
      </x:c>
      <x:c r="B9" s="33" t="n">
        <x:f>'Verified Data Scale'!L6</x:f>
        <x:v>2.54406804435028</x:v>
      </x:c>
      <x:c r="C9" s="29" t="str">
        <x:f>'Verified Data Scale'!F6</x:f>
        <x:v>exact</x:v>
      </x:c>
    </x:row>
    <x:row r="10">
      <x:c r="A10" s="29" t="str">
        <x:f>'Verified Data Scale'!B7&amp;" — "&amp;'Verified Data Scale'!C7</x:f>
        <x:v>Dreamer 4 — paired-action ablation subset</x:v>
      </x:c>
      <x:c r="B10" s="33" t="n">
        <x:f>'Verified Data Scale'!L7</x:f>
        <x:v>2</x:v>
      </x:c>
      <x:c r="C10" s="29" t="str">
        <x:f>'Verified Data Scale'!F7</x:f>
        <x:v>exact</x:v>
      </x:c>
    </x:row>
    <x:row r="11">
      <x:c r="A11" s="29" t="str">
        <x:f>'Verified Data Scale'!B8&amp;" — "&amp;'Verified Data Scale'!C8</x:f>
        <x:v>V-JEPA 2-AC — filtered robot-video subset with end-effector states and derived actions</x:v>
      </x:c>
      <x:c r="B11" s="33" t="n">
        <x:f>'Verified Data Scale'!L8</x:f>
        <x:v>1.79239168949825</x:v>
      </x:c>
      <x:c r="C11" s="29" t="str">
        <x:f>'Verified Data Scale'!F8</x:f>
        <x:v>upper_bound</x:v>
      </x:c>
    </x:row>
    <x:row r="23" ht="31.5" customHeight="1">
      <x:c r="A23" s="37" t="str">
        <x:v>Task</x:v>
      </x:c>
      <x:c r="B23" s="37" t="str">
        <x:v>SIMPLER</x:v>
      </x:c>
      <x:c r="C23" s="37" t="str">
        <x:v>World-Gymnast</x:v>
      </x:c>
    </x:row>
    <x:row r="24">
      <x:c r="A24" s="29" t="str">
        <x:f>'World-Gymnast'!A2</x:f>
        <x:v>Open the drawer</x:v>
      </x:c>
      <x:c r="B24" s="30" t="n">
        <x:f>'World-Gymnast'!C2</x:f>
        <x:v>34</x:v>
      </x:c>
      <x:c r="C24" s="30" t="n">
        <x:f>'World-Gymnast'!F2</x:f>
        <x:v>58</x:v>
      </x:c>
    </x:row>
    <x:row r="25">
      <x:c r="A25" s="29" t="str">
        <x:f>'World-Gymnast'!A3</x:f>
        <x:v>Close the drawer</x:v>
      </x:c>
      <x:c r="B25" s="30" t="n">
        <x:f>'World-Gymnast'!C3</x:f>
        <x:v>74</x:v>
      </x:c>
      <x:c r="C25" s="30" t="n">
        <x:f>'World-Gymnast'!F3</x:f>
        <x:v>62</x:v>
      </x:c>
    </x:row>
    <x:row r="26">
      <x:c r="A26" s="29" t="str">
        <x:f>'World-Gymnast'!A4</x:f>
        <x:v>Put the eggplant into the blue sink</x:v>
      </x:c>
      <x:c r="B26" s="30" t="n">
        <x:f>'World-Gymnast'!C4</x:f>
        <x:v>32</x:v>
      </x:c>
      <x:c r="C26" s="30" t="n">
        <x:f>'World-Gymnast'!F4</x:f>
        <x:v>72</x:v>
      </x:c>
    </x:row>
    <x:row r="27">
      <x:c r="A27" s="29" t="str">
        <x:f>'World-Gymnast'!A5</x:f>
        <x:v>Put the eggplant into the yellow basket</x:v>
      </x:c>
      <x:c r="B27" s="30" t="n">
        <x:f>'World-Gymnast'!C5</x:f>
        <x:v>40</x:v>
      </x:c>
      <x:c r="C27" s="30" t="n">
        <x:f>'World-Gymnast'!F5</x:f>
        <x:v>78</x:v>
      </x:c>
    </x:row>
  </x:sheetData>
  <x:mergeCells>
    <x:mergeCell ref="A1:M1"/>
    <x:mergeCell ref="A2:M2"/>
  </x:mergeCells>
  <x:pageMargins left="0.7" right="0.7" top="0.75" bottom="0.75" header="0.3" footer="0.3"/>
  <x:drawing xmlns:r="http://schemas.openxmlformats.org/officeDocument/2006/relationships" r:id="R43d04596e6e642cb"/>
</x:worksheet>
</file>

<file path=xl/worksheets/sheet10.xml><?xml version="1.0" encoding="utf-8"?>
<x:worksheet xmlns:x="http://schemas.openxmlformats.org/spreadsheetml/2006/main">
  <x:sheetViews>
    <x:sheetView showGridLines="0" workbookViewId="0"/>
  </x:sheetViews>
  <x:sheetFormatPr defaultRowHeight="15"/>
  <x:cols>
    <x:col min="1" max="1" width="36.66999816894531" hidden="0" customWidth="1"/>
    <x:col min="2" max="2" width="18.889999389648438" hidden="0" customWidth="1"/>
    <x:col min="3" max="3" width="18.889999389648438" hidden="0" customWidth="1"/>
    <x:col min="4" max="4" width="20" hidden="0" customWidth="1"/>
    <x:col min="5" max="5" width="40" hidden="0" customWidth="1"/>
  </x:cols>
  <x:sheetData>
    <x:row r="1" ht="31.5" customHeight="1">
      <x:c r="A1" s="28" t="str">
        <x:v>file</x:v>
      </x:c>
      <x:c r="B1" s="28" t="str">
        <x:v>format</x:v>
      </x:c>
      <x:c r="C1" s="28" t="str">
        <x:v>resolution</x:v>
      </x:c>
      <x:c r="D1" s="28" t="str">
        <x:v>source data</x:v>
      </x:c>
      <x:c r="E1" s="28" t="str">
        <x:v>recommended use</x:v>
      </x:c>
    </x:row>
    <x:row r="2">
      <x:c r="A2" s="29" t="str">
        <x:v>verified_data_scale.pdf</x:v>
      </x:c>
      <x:c r="B2" s="29" t="str">
        <x:v>Vector PDF</x:v>
      </x:c>
      <x:c r="C2" s="29" t="str">
        <x:v>embedded TrueType fonts</x:v>
      </x:c>
      <x:c r="D2" s="29" t="str">
        <x:v>Verified Data Scale</x:v>
      </x:c>
      <x:c r="E2" s="29" t="str">
        <x:v>Main text L3; preserve scope and bound caveat</x:v>
      </x:c>
    </x:row>
    <x:row r="3">
      <x:c r="A3" s="29" t="str">
        <x:v>verified_data_scale.png</x:v>
      </x:c>
      <x:c r="B3" s="29" t="str">
        <x:v>PNG</x:v>
      </x:c>
      <x:c r="C3" s="29" t="str">
        <x:v>600 dpi</x:v>
      </x:c>
      <x:c r="D3" s="29" t="str">
        <x:v>Verified Data Scale</x:v>
      </x:c>
      <x:c r="E3" s="29" t="str">
        <x:v>Preview or raster-only workflow</x:v>
      </x:c>
    </x:row>
    <x:row r="4">
      <x:c r="A4" s="29" t="str">
        <x:v>verified_world_gymnast_real_robot.pdf</x:v>
      </x:c>
      <x:c r="B4" s="29" t="str">
        <x:v>Vector PDF</x:v>
      </x:c>
      <x:c r="C4" s="29" t="str">
        <x:v>embedded TrueType fonts</x:v>
      </x:c>
      <x:c r="D4" s="29" t="str">
        <x:v>World-Gymnast</x:v>
      </x:c>
      <x:c r="E4" s="29" t="str">
        <x:v>Main text or supplement</x:v>
      </x:c>
    </x:row>
    <x:row r="5">
      <x:c r="A5" s="29" t="str">
        <x:v>verified_world_gymnast_real_robot.png</x:v>
      </x:c>
      <x:c r="B5" s="29" t="str">
        <x:v>PNG</x:v>
      </x:c>
      <x:c r="C5" s="29" t="str">
        <x:v>600 dpi</x:v>
      </x:c>
      <x:c r="D5" s="29" t="str">
        <x:v>World-Gymnast</x:v>
      </x:c>
      <x:c r="E5" s="29" t="str">
        <x:v>Preview or raster-only workflow</x:v>
      </x:c>
    </x:row>
  </x:sheetData>
  <x:pageMargins left="0.7" right="0.7" top="0.75" bottom="0.75" header="0.3" footer="0.3"/>
  <x:tableParts count="1">
    <x:tablePart xmlns:r="http://schemas.openxmlformats.org/officeDocument/2006/relationships" r:id="Rc1ddd13532424f2b"/>
  </x:tableParts>
</x:worksheet>
</file>

<file path=xl/worksheets/sheet11.xml><?xml version="1.0" encoding="utf-8"?>
<worksheet xmlns="http://schemas.openxmlformats.org/spreadsheetml/2006/main" xmlns:r="http://schemas.openxmlformats.org/officeDocument/2006/relationships">
  <sheetPr>
    <tabColor rgb="FF1F4E78"/>
  </sheetPr>
  <sheetViews>
    <sheetView showGridLines="0" workbookViewId="0">
      <pane xSplit="2" ySplit="8" topLeftCell="C9" activePane="bottomRight" state="frozen"/>
    </sheetView>
  </sheetViews>
  <sheetFormatPr defaultRowHeight="15"/>
  <cols>
    <col min="1" max="1" width="8" hidden="0" customWidth="1"/>
    <col min="2" max="2" width="12" hidden="0" customWidth="1"/>
    <col min="3" max="3" width="76" hidden="0" customWidth="1"/>
    <col min="4" max="4" width="96" hidden="0" customWidth="1"/>
    <col min="5" max="5" width="43" hidden="0" customWidth="1"/>
    <col min="6" max="6" width="27" hidden="0" customWidth="1"/>
    <col min="7" max="7" width="28" hidden="0" customWidth="1"/>
    <col min="8" max="8" width="22" hidden="0" customWidth="1"/>
    <col min="9" max="9" width="44" hidden="0" customWidth="1"/>
    <col min="10" max="10" width="40" hidden="0" customWidth="1"/>
    <col min="11" max="11" width="25" hidden="0" customWidth="1"/>
    <col min="12" max="12" width="58" hidden="0" customWidth="1"/>
    <col min="13" max="13" width="62" hidden="0" customWidth="1"/>
  </cols>
  <sheetData>
    <row r="1" ht="25" customHeight="1">
      <c r="A1" s="46" t="str">
        <v>Cited papers and sources</v>
      </c>
      <c r="B1" s="45"/>
      <c r="C1" s="45"/>
      <c r="D1" s="45"/>
      <c r="E1" s="45"/>
      <c r="F1" s="45"/>
      <c r="G1" s="45"/>
      <c r="H1" s="45"/>
      <c r="I1" s="45"/>
      <c r="J1" s="45"/>
      <c r="K1" s="45"/>
      <c r="L1" s="45"/>
      <c r="M1" s="45"/>
    </row>
    <row r="2" ht="8" customHeight="1">
      <c r="A2" s="45"/>
      <c r="B2" s="45"/>
      <c r="C2" s="45"/>
      <c r="D2" s="45"/>
      <c r="E2" s="45"/>
      <c r="F2" s="45"/>
      <c r="G2" s="45"/>
      <c r="H2" s="45"/>
      <c r="I2" s="45"/>
      <c r="J2" s="45"/>
      <c r="K2" s="45"/>
      <c r="L2" s="45"/>
      <c r="M2" s="45"/>
    </row>
    <row r="3" ht="31" customHeight="1">
      <c r="A3" s="45" t="str">
        <v>Cited references</v>
      </c>
      <c r="B3" s="45"/>
      <c r="C3" s="49" t="n">
        <f>COUNTA(K9:K183)</f>
        <v>175</v>
      </c>
      <c r="D3" s="52" t="str">
        <v>Compiled from the current 29-page draft on 24 September 2026.</v>
      </c>
      <c r="E3" s="45"/>
      <c r="F3" s="45" t="str">
        <v>Paper citations</v>
      </c>
      <c r="G3" s="53" t="n">
        <f>COUNTIFS(G9:G183,"Paper")</f>
        <v>169</v>
      </c>
      <c r="H3" s="45"/>
      <c r="I3" s="45"/>
      <c r="J3" s="45"/>
      <c r="K3" s="45"/>
      <c r="L3" s="45"/>
      <c r="M3" s="45"/>
    </row>
    <row r="4" ht="31" customHeight="1">
      <c r="A4" s="45" t="str">
        <v>Unresolved decisions</v>
      </c>
      <c r="B4" s="45"/>
      <c r="C4" s="49" t="n">
        <f>C3-COUNTIFS(H9:H183,"Include")-COUNTIFS(H9:H183,"Background")-COUNTIFS(H9:H183,"Exclude")-COUNTIFS(H9:H183,"Duplicate")</f>
        <v>175</v>
      </c>
      <c r="D4" s="52" t="str">
        <v>References and years follow the draft. Use the links and metadata notes to check source details.</v>
      </c>
      <c r="E4" s="45"/>
      <c r="F4" s="45" t="str">
        <v>Other technical sources</v>
      </c>
      <c r="G4" s="53" t="n">
        <f>COUNTIFS(G9:G183,"Technical release / software")</f>
        <v>6</v>
      </c>
      <c r="H4" s="45"/>
      <c r="I4" s="45"/>
      <c r="J4" s="45"/>
      <c r="K4" s="45"/>
      <c r="L4" s="45"/>
      <c r="M4" s="45"/>
    </row>
    <row r="5" ht="31" customHeight="1">
      <c r="A5" s="45" t="str">
        <v>Marked Include</v>
      </c>
      <c r="B5" s="45"/>
      <c r="C5" s="49" t="n">
        <f>COUNTIFS(H9:H183,"Include")</f>
        <v>0</v>
      </c>
      <c r="D5" s="52" t="str">
        <v>Choose Include, Background, Exclude or Duplicate in the amber Review decision column.</v>
      </c>
      <c r="E5" s="45"/>
      <c r="F5" s="45"/>
      <c r="G5" s="45"/>
      <c r="H5" s="45"/>
      <c r="I5" s="45"/>
      <c r="J5" s="45"/>
      <c r="K5" s="45"/>
      <c r="L5" s="45"/>
      <c r="M5" s="45"/>
    </row>
    <row r="6" ht="31" customHeight="1">
      <c r="A6" s="45" t="str">
        <v>Figure 3 count</v>
      </c>
      <c r="B6" s="45"/>
      <c r="C6" s="50" t="str">
        <f>IF(C4&gt;0,"Not finalized",C5)</f>
        <v>Not finalized</v>
      </c>
      <c r="D6" s="52" t="str">
        <v>Settle Pending, blank or invalid decisions before using the count for Figure 3. Extend count ranges if adding rows.</v>
      </c>
      <c r="E6" s="45"/>
      <c r="F6" s="45"/>
      <c r="G6" s="45"/>
      <c r="H6" s="45"/>
      <c r="I6" s="45"/>
      <c r="J6" s="45"/>
      <c r="K6" s="45"/>
      <c r="L6" s="45"/>
      <c r="M6" s="45"/>
    </row>
    <row r="7" ht="9" customHeight="1">
      <c r="A7" s="45"/>
      <c r="B7" s="45"/>
      <c r="C7" s="45"/>
      <c r="D7" s="45"/>
      <c r="E7" s="45"/>
      <c r="F7" s="45"/>
      <c r="G7" s="45"/>
      <c r="H7" s="45"/>
      <c r="I7" s="45"/>
      <c r="J7" s="45"/>
      <c r="K7" s="45"/>
      <c r="L7" s="45"/>
      <c r="M7" s="45"/>
    </row>
    <row r="8" ht="32" customHeight="1">
      <c r="A8" s="58" t="str">
        <v>Ref.</v>
      </c>
      <c r="B8" s="58" t="str">
        <v>Year (as cited)</v>
      </c>
      <c r="C8" s="58" t="str">
        <v>Reference (as cited)</v>
      </c>
      <c r="D8" s="58" t="str">
        <v>Two-sentence summary</v>
      </c>
      <c r="E8" s="58" t="str">
        <v>Primary source link</v>
      </c>
      <c r="F8" s="58" t="str">
        <v>Topic / role</v>
      </c>
      <c r="G8" s="58" t="str">
        <v>Source type</v>
      </c>
      <c r="H8" s="58" t="str">
        <v>Review decision</v>
      </c>
      <c r="I8" s="58" t="str">
        <v>Decision reason</v>
      </c>
      <c r="J8" s="58" t="str">
        <v>Report ID</v>
      </c>
      <c r="K8" s="58" t="str">
        <v>Citation key</v>
      </c>
      <c r="L8" s="58" t="str">
        <v>Metadata notes</v>
      </c>
      <c r="M8" s="58" t="str">
        <v>Summary basis</v>
      </c>
    </row>
    <row r="9" ht="70" customHeight="1">
      <c r="A9" s="60" t="n">
        <v>1</v>
      </c>
      <c r="B9" s="60" t="n">
        <v>2023</v>
      </c>
      <c r="C9" s="61" t="str">
        <v>B. Zitkovich, T. Yu, S. Xu, P. Xu, T. Xiao, F. Xia, J. Wu, P. Wohlhart, S. Welker, A. Wahid et al., “RT-2: Vision-language-action models transfer web knowledge to robotic control,” in Proc. Conf. Robot Learn. (CoRL), 2023, arXiv:2307.15818.</v>
      </c>
      <c r="D9" s="61" t="str">
        <v>RT-2 represents robot actions as tokens and co-trains on robotic trajectories and vision-language tasks. It studies how knowledge learned from web data transfers into language-conditioned manipulation.</v>
      </c>
      <c r="E9" s="63" t="str">
        <v>https://arxiv.org/abs/2307.15818</v>
      </c>
      <c r="F9" s="61" t="str">
        <v>VLA/action policy</v>
      </c>
      <c r="G9" s="61" t="str">
        <v>Paper</v>
      </c>
      <c r="H9" s="62" t="str">
        <v>Pending</v>
      </c>
      <c r="I9" s="62" t="str"/>
      <c r="J9" s="61" t="str">
        <v>arXiv:2307.15818</v>
      </c>
      <c r="K9" s="61" t="str">
        <v>rt2</v>
      </c>
      <c r="L9" s="61" t="str"/>
      <c r="M9" s="61" t="str">
        <v>Previously primary-source-checked README catalogue and manuscript discussion; no new quantitative claims.</v>
      </c>
    </row>
    <row r="10" ht="70" customHeight="1">
      <c r="A10" s="60" t="n">
        <v>2</v>
      </c>
      <c r="B10" s="60" t="n">
        <v>2024</v>
      </c>
      <c r="C10" s="61" t="str">
        <v>M. J. Kim, K. Pertsch, S. Karamcheti, T. Xiao, A. Balakrishna, S. Nair, R. Rafailov, E. Foster, G. Lam, P. Sanketi et al., “OpenVLA: An open-source vision-language-action model,” in Proc. Conf. Robot Learn. (CoRL), 2024, arXiv:2406.09246.</v>
      </c>
      <c r="D10" s="61" t="str">
        <v>OpenVLA combines pretrained visual-language representations with autoregressive robot-action prediction in an open model. It provides a generalist manipulation policy that can be adapted to new tasks through fine-tuning.</v>
      </c>
      <c r="E10" s="63" t="str">
        <v>https://arxiv.org/abs/2406.09246</v>
      </c>
      <c r="F10" s="61" t="str">
        <v>VLA/action policy</v>
      </c>
      <c r="G10" s="61" t="str">
        <v>Paper</v>
      </c>
      <c r="H10" s="62" t="str">
        <v>Pending</v>
      </c>
      <c r="I10" s="62" t="str"/>
      <c r="J10" s="61" t="str">
        <v>arXiv:2406.09246</v>
      </c>
      <c r="K10" s="61" t="str">
        <v>openvla</v>
      </c>
      <c r="L10" s="61" t="str"/>
      <c r="M10" s="61" t="str">
        <v>Previously primary-source-checked README catalogue and manuscript discussion; no new quantitative claims.</v>
      </c>
    </row>
    <row r="11" ht="62" customHeight="1">
      <c r="A11" s="60" t="n">
        <v>3</v>
      </c>
      <c r="B11" s="60" t="n">
        <v>2024</v>
      </c>
      <c r="C11" s="61" t="str">
        <v>Open X-Embodiment Collaboration, “Open X-Embodiment: Robotic learning datasets and RT-X models,” in Proc. IEEE Int. Conf. Robot. Autom. (ICRA), 2024, arXiv:2310.08864.</v>
      </c>
      <c r="D11" s="61" t="str">
        <v>Open X-Embodiment brings together robot demonstration datasets collected across different embodiments. The accompanying RT-X models examine whether training on this combined data improves transfer between robotic platforms.</v>
      </c>
      <c r="E11" s="63" t="str">
        <v>https://arxiv.org/abs/2310.08864</v>
      </c>
      <c r="F11" s="61" t="str">
        <v>Dataset/benchmark</v>
      </c>
      <c r="G11" s="61" t="str">
        <v>Paper</v>
      </c>
      <c r="H11" s="62" t="str">
        <v>Pending</v>
      </c>
      <c r="I11" s="62" t="str"/>
      <c r="J11" s="61" t="str">
        <v>arXiv:2310.08864</v>
      </c>
      <c r="K11" s="61" t="str">
        <v>oxe</v>
      </c>
      <c r="L11" s="61" t="str">
        <v>Hybrid dataset/model report: OXE and RT-X are one cited report; category reflects its dataset role.</v>
      </c>
      <c r="M11" s="61" t="str">
        <v>Previously primary-source-checked README catalogue and manuscript discussion; no new quantitative claims.</v>
      </c>
    </row>
    <row r="12" ht="70" customHeight="1">
      <c r="A12" s="60" t="n">
        <v>4</v>
      </c>
      <c r="B12" s="60" t="n">
        <v>2025</v>
      </c>
      <c r="C12" s="61" t="str">
        <v>K. Black, N. Brown, D. Driess, A. Esmail, M. Equi, C. Finn, N. Fusai, L. Groom, K. Hausman, B. Ichter et al., “π0: A vision-language-action flow model for general robot control,” in Proc. Robot.: Sci. Syst. (RSS), 2025, arXiv:2410.24164.</v>
      </c>
      <c r="D12" s="61" t="str">
        <v>The π0 model couples a pretrained vision-language backbone to a flow-matching action expert. It generates continuous action chunks for manipulation across tasks and robot embodiments.</v>
      </c>
      <c r="E12" s="63" t="str">
        <v>https://arxiv.org/abs/2410.24164</v>
      </c>
      <c r="F12" s="61" t="str">
        <v>VLA/action policy</v>
      </c>
      <c r="G12" s="61" t="str">
        <v>Paper</v>
      </c>
      <c r="H12" s="62" t="str">
        <v>Pending</v>
      </c>
      <c r="I12" s="62" t="str"/>
      <c r="J12" s="61" t="str">
        <v>arXiv:2410.24164</v>
      </c>
      <c r="K12" s="61" t="str">
        <v>pi0</v>
      </c>
      <c r="L12" s="61" t="str"/>
      <c r="M12" s="61" t="str">
        <v>Previously primary-source-checked README catalogue and manuscript discussion; no new quantitative claims.</v>
      </c>
    </row>
    <row r="13" ht="62" customHeight="1">
      <c r="A13" s="60" t="n">
        <v>5</v>
      </c>
      <c r="B13" s="60" t="n">
        <v>2025</v>
      </c>
      <c r="C13" s="61" t="str">
        <v>J. Bjorck, F. Castañeda, N. Cherniadev, X. Da, R. Ding, L. Fan, Y. Fang, D. Fox, F. Hu, S. Huang et al., “GR00T N1: An open foundation model for generalist humanoid robots,” arXiv preprint, 2025, arXiv:2503.14734.</v>
      </c>
      <c r="D13" s="61" t="str">
        <v>GR00T N1 combines vision-language interpretation with diffusion-based action generation for humanoid robots. Its dual-system design connects slower semantic processing with continuous control.</v>
      </c>
      <c r="E13" s="63" t="str">
        <v>https://arxiv.org/abs/2503.14734</v>
      </c>
      <c r="F13" s="61" t="str">
        <v>VLA/action policy</v>
      </c>
      <c r="G13" s="61" t="str">
        <v>Paper</v>
      </c>
      <c r="H13" s="62" t="str">
        <v>Pending</v>
      </c>
      <c r="I13" s="62" t="str"/>
      <c r="J13" s="61" t="str">
        <v>arXiv:2503.14734</v>
      </c>
      <c r="K13" s="61" t="str">
        <v>groot</v>
      </c>
      <c r="L13" s="61" t="str"/>
      <c r="M13" s="61" t="str">
        <v>Previously primary-source-checked README catalogue and manuscript discussion; no new quantitative claims.</v>
      </c>
    </row>
    <row r="14" ht="62" customHeight="1">
      <c r="A14" s="60" t="n">
        <v>6</v>
      </c>
      <c r="B14" s="60" t="n">
        <v>2025</v>
      </c>
      <c r="C14" s="61" t="str">
        <v>Gemini Robotics Team, “Gemini Robotics: Bringing AI into the physical world,” arXiv preprint, 2025, arXiv:2503.20020.</v>
      </c>
      <c r="D14" s="61" t="str">
        <v>Gemini Robotics extends a Gemini vision-language model to generate robot actions from observations and instructions. The developer-reported study examines manipulation capabilities and transfer across embodiments.</v>
      </c>
      <c r="E14" s="63" t="str">
        <v>https://arxiv.org/abs/2503.20020</v>
      </c>
      <c r="F14" s="61" t="str">
        <v>VLA/action policy</v>
      </c>
      <c r="G14" s="61" t="str">
        <v>Paper</v>
      </c>
      <c r="H14" s="62" t="str">
        <v>Pending</v>
      </c>
      <c r="I14" s="62" t="str"/>
      <c r="J14" s="61" t="str">
        <v>arXiv:2503.20020</v>
      </c>
      <c r="K14" s="61" t="str">
        <v>geminirobotics</v>
      </c>
      <c r="L14" s="61" t="str">
        <v>Vendor-authored technical research paper, not reclassified as nonpaper simply because evidence is vendor-reported.</v>
      </c>
      <c r="M14" s="61" t="str">
        <v>Previously primary-source-checked README catalogue and manuscript discussion; no new quantitative claims.</v>
      </c>
    </row>
    <row r="15" ht="62" customHeight="1">
      <c r="A15" s="60" t="n">
        <v>7</v>
      </c>
      <c r="B15" s="60" t="n">
        <v>2025</v>
      </c>
      <c r="C15" s="61" t="str">
        <v>Figure AI, “Helix: A vision-language-action model for generalist humanoid control,” Figure AI technical blog, , 2025.</v>
      </c>
      <c r="D15" s="61" t="str">
        <v>Helix combines a slower vision-language component with a faster continuous-action controller for humanoid upper-body manipulation. The cited vendor release describes this dual-system architecture and its demonstrated behaviors.</v>
      </c>
      <c r="E15" s="63" t="str">
        <v>https://www.figure.ai/news/helix</v>
      </c>
      <c r="F15" s="61" t="str">
        <v>Vendor technical release</v>
      </c>
      <c r="G15" s="61" t="str">
        <v>Technical release / software</v>
      </c>
      <c r="H15" s="62" t="str">
        <v>Pending</v>
      </c>
      <c r="I15" s="62" t="str"/>
      <c r="J15" s="61" t="str">
        <v>https://www.figure.ai/news/helix</v>
      </c>
      <c r="K15" s="61" t="str">
        <v>helix</v>
      </c>
      <c r="L15" s="61" t="str"/>
      <c r="M15" s="61" t="str">
        <v>Previously primary-source-checked README catalogue and manuscript discussion; no new quantitative claims.</v>
      </c>
    </row>
    <row r="16" ht="62" customHeight="1">
      <c r="A16" s="60" t="n">
        <v>8</v>
      </c>
      <c r="B16" s="60" t="n">
        <v>2025</v>
      </c>
      <c r="C16" s="61" t="str">
        <v>M. J. Kim, C. Finn, and P. Liang, “Fine-tuning vision-languageaction models: Optimizing speed and success,” arXiv preprint, 2025, arXiv:2502.19645.</v>
      </c>
      <c r="D16" s="61" t="str">
        <v>OpenVLA-OFT studies fine-tuning choices for faster and more successful VLA control. Its recipe uses action chunking and parallel continuous regression instead of sequential action-token decoding.</v>
      </c>
      <c r="E16" s="63" t="str">
        <v>https://arxiv.org/abs/2502.19645</v>
      </c>
      <c r="F16" s="61" t="str">
        <v>Policy training/adaptation method</v>
      </c>
      <c r="G16" s="61" t="str">
        <v>Paper</v>
      </c>
      <c r="H16" s="62" t="str">
        <v>Pending</v>
      </c>
      <c r="I16" s="62" t="str"/>
      <c r="J16" s="61" t="str">
        <v>arXiv:2502.19645</v>
      </c>
      <c r="K16" s="61" t="str">
        <v>openvlaoft</v>
      </c>
      <c r="L16" s="61" t="str"/>
      <c r="M16" s="61" t="str">
        <v>Previously primary-source-checked README catalogue and manuscript discussion; no new quantitative claims.</v>
      </c>
    </row>
    <row r="17" ht="62" customHeight="1">
      <c r="A17" s="60" t="n">
        <v>9</v>
      </c>
      <c r="B17" s="60" t="n">
        <v>2025</v>
      </c>
      <c r="C17" s="61" t="str">
        <v>S. Fei, S. Wang, J. Shi, Z. Dai, J. Cai, P. Qian, L. Ji, X. He, S. Zhang, Z. Fei et al., “LIBERO-Plus: In-depth robustness analysis of vision-language-action models,” arXiv preprint, 2025, arXiv:2510.13626.</v>
      </c>
      <c r="D17" s="61" t="str">
        <v>LIBERO-Plus probes manipulation policies with controlled visual, physical-configuration, and instruction perturbations. Its instruction-removal and goal-replacement tests distinguish apparent language robustness from reliable instruction grounding.</v>
      </c>
      <c r="E17" s="63" t="str">
        <v>https://arxiv.org/abs/2510.13626</v>
      </c>
      <c r="F17" s="61" t="str">
        <v>Dataset/benchmark</v>
      </c>
      <c r="G17" s="61" t="str">
        <v>Paper</v>
      </c>
      <c r="H17" s="62" t="str">
        <v>Pending</v>
      </c>
      <c r="I17" s="62" t="str"/>
      <c r="J17" s="61" t="str">
        <v>arXiv:2510.13626</v>
      </c>
      <c r="K17" s="61" t="str">
        <v>liberoplus</v>
      </c>
      <c r="L17" s="61" t="str"/>
      <c r="M17" s="61" t="str">
        <v>Previously primary-source-checked README catalogue and manuscript discussion; no new quantitative claims.</v>
      </c>
    </row>
    <row r="18" ht="62" customHeight="1">
      <c r="A18" s="60" t="n">
        <v>10</v>
      </c>
      <c r="B18" s="60" t="n">
        <v>2025</v>
      </c>
      <c r="C18" s="61" t="str">
        <v>A. Jain, M. Zhang, K. Arora, W. Chen, M. Torne, M. Z. Irshad, S. Zakharov, Y. Wang, S. Levine, C. Finn et al., “PolaRiS: Scalable real-to-sim evaluations for generalist robot policies,” arXiv preprint, 2025, arXiv:2512.16881.</v>
      </c>
      <c r="D18" s="61" t="str">
        <v>PolaRiS reconstructs interactive simulation environments from short scans of real scenes for robot-policy evaluation. Paired simulated and physical tests examine how well these evaluations predict real-world performance.</v>
      </c>
      <c r="E18" s="63" t="str">
        <v>https://arxiv.org/abs/2512.16881</v>
      </c>
      <c r="F18" s="61" t="str">
        <v>Dataset/benchmark</v>
      </c>
      <c r="G18" s="61" t="str">
        <v>Paper</v>
      </c>
      <c r="H18" s="62" t="str">
        <v>Pending</v>
      </c>
      <c r="I18" s="62" t="str"/>
      <c r="J18" s="61" t="str">
        <v>arXiv:2512.16881</v>
      </c>
      <c r="K18" s="61" t="str">
        <v>polaris</v>
      </c>
      <c r="L18" s="61" t="str">
        <v>Evaluation framework/method paper grouped with benchmark/evaluation sources; not a mere data file.</v>
      </c>
      <c r="M18" s="61" t="str">
        <v>Primary-source abstract or article and manuscript context; source reviewed 2026-09-24.</v>
      </c>
    </row>
    <row r="19" ht="70" customHeight="1">
      <c r="A19" s="60" t="n">
        <v>11</v>
      </c>
      <c r="B19" s="60" t="n">
        <v>2026</v>
      </c>
      <c r="C19" s="61" t="str">
        <v>H. Li, Y. Zuo, J. Yu, Y. Zhang, Z. Yang, K. Zhang, X. Zhu, Y. Zhang, T. Chen, G. Cui et al., “SimpleVLA-RL: Scaling VLA training via reinforcement learning,” in Proc. Int. Conf. Learn. Representations (ICLR), 2026, arXiv:2509.09674.</v>
      </c>
      <c r="D19" s="61" t="str">
        <v>SimpleVLA-RL adapts VLA policies through online reinforcement learning with stochastic action-token decoding. It evaluates how interaction changes performance under different demonstration budgets.</v>
      </c>
      <c r="E19" s="63" t="str">
        <v>https://arxiv.org/abs/2509.09674</v>
      </c>
      <c r="F19" s="61" t="str">
        <v>Policy training/adaptation method</v>
      </c>
      <c r="G19" s="61" t="str">
        <v>Paper</v>
      </c>
      <c r="H19" s="62" t="str">
        <v>Pending</v>
      </c>
      <c r="I19" s="62" t="str"/>
      <c r="J19" s="61" t="str">
        <v>arXiv:2509.09674</v>
      </c>
      <c r="K19" s="61" t="str">
        <v>simplevlarl</v>
      </c>
      <c r="L19" s="61" t="str"/>
      <c r="M19" s="61" t="str">
        <v>Previously primary-source-checked README catalogue and manuscript discussion; no new quantitative claims.</v>
      </c>
    </row>
    <row r="20" ht="62" customHeight="1">
      <c r="A20" s="60" t="n">
        <v>12</v>
      </c>
      <c r="B20" s="60" t="n">
        <v>2025</v>
      </c>
      <c r="C20" s="61" t="str">
        <v>S. Tan, K. Dou, Y. Zhao, and P. Krähenbühl, “Interactive post-training for vision-language-action models,” arXiv preprint, 2025, arXiv:2505.17016.</v>
      </c>
      <c r="D20" s="61" t="str">
        <v>RIPT-VLA fine-tunes pretrained robot policies through reinforcement learning with sparse task-success rewards. It studies interactive post-training of both lightweight and larger policies under limited supervision.</v>
      </c>
      <c r="E20" s="63" t="str">
        <v>https://arxiv.org/abs/2505.17016</v>
      </c>
      <c r="F20" s="61" t="str">
        <v>Policy training/adaptation method</v>
      </c>
      <c r="G20" s="61" t="str">
        <v>Paper</v>
      </c>
      <c r="H20" s="62" t="str">
        <v>Pending</v>
      </c>
      <c r="I20" s="62" t="str"/>
      <c r="J20" s="61" t="str">
        <v>arXiv:2505.17016</v>
      </c>
      <c r="K20" s="61" t="str">
        <v>riptvla</v>
      </c>
      <c r="L20" s="61" t="str"/>
      <c r="M20" s="61" t="str">
        <v>Previously primary-source-checked README catalogue and manuscript discussion; no new quantitative claims.</v>
      </c>
    </row>
    <row r="21" ht="70" customHeight="1">
      <c r="A21" s="60" t="n">
        <v>13</v>
      </c>
      <c r="B21" s="60" t="n">
        <v>2025</v>
      </c>
      <c r="C21" s="61" t="str">
        <v>M. Assran, A. Bardes, D. Fan, Q. Garrido, R. Howes, M. Komeili, M. Muckley, A. Rizvi, C. Roberts, K. Sinha et al., “V-JEPA 2: Selfsupervised video models enable understanding, prediction and planning,” arXiv preprint, 2025, arXiv:2506.09985.</v>
      </c>
      <c r="D21" s="61" t="str">
        <v>V-JEPA 2 learns predictive video representations from action-free video at scale. Its separately adapted V-JEPA 2-AC model predicts action-conditioned latent transitions for planning toward image goals.</v>
      </c>
      <c r="E21" s="63" t="str">
        <v>https://arxiv.org/abs/2506.09985</v>
      </c>
      <c r="F21" s="61" t="str">
        <v>World model/predictive system</v>
      </c>
      <c r="G21" s="61" t="str">
        <v>Paper</v>
      </c>
      <c r="H21" s="62" t="str">
        <v>Pending</v>
      </c>
      <c r="I21" s="62" t="str"/>
      <c r="J21" s="61" t="str">
        <v>arXiv:2506.09985</v>
      </c>
      <c r="K21" s="61" t="str">
        <v>vjepa2</v>
      </c>
      <c r="L21" s="61" t="str"/>
      <c r="M21" s="61" t="str">
        <v>Previously primary-source-checked README catalogue and manuscript discussion; no new quantitative claims.</v>
      </c>
    </row>
    <row r="22" ht="62" customHeight="1">
      <c r="A22" s="60" t="n">
        <v>14</v>
      </c>
      <c r="B22" s="60" t="n">
        <v>2025</v>
      </c>
      <c r="C22" s="61" t="str">
        <v>J. Jang, S. Ye, Z. Lin, J. Xiang, J. Bjorck, Y. Fang, F. Hu, S. Huang, K. Kundalia, Y.-C. Lin et al., “DreamGen: Unlocking generalization in robot learning through video world models,” arXiv preprint, 2025, arXiv:2505.12705.</v>
      </c>
      <c r="D22" s="61" t="str">
        <v>DreamGen generates task-conditioned robot videos and obtains pseudo-action labels through inverse dynamics. The resulting synthetic trajectories augment policy training as an offline data-generation pipeline.</v>
      </c>
      <c r="E22" s="63" t="str">
        <v>https://arxiv.org/abs/2505.12705</v>
      </c>
      <c r="F22" s="61" t="str">
        <v>World model/predictive system</v>
      </c>
      <c r="G22" s="61" t="str">
        <v>Paper</v>
      </c>
      <c r="H22" s="62" t="str">
        <v>Pending</v>
      </c>
      <c r="I22" s="62" t="str"/>
      <c r="J22" s="61" t="str">
        <v>arXiv:2505.12705</v>
      </c>
      <c r="K22" s="61" t="str">
        <v>dreamgen</v>
      </c>
      <c r="L22" s="61" t="str"/>
      <c r="M22" s="61" t="str">
        <v>Previously primary-source-checked README catalogue and manuscript discussion; no new quantitative claims.</v>
      </c>
    </row>
    <row r="23" ht="62" customHeight="1">
      <c r="A23" s="60" t="n">
        <v>15</v>
      </c>
      <c r="B23" s="60" t="n">
        <v>2025</v>
      </c>
      <c r="C23" s="61" t="str">
        <v>D. Hafner, W. Yan, and T. Lillicrap, “Training agents inside of scalable world models,” arXiv preprint, 2025, arXiv:2509.24527.</v>
      </c>
      <c r="D23" s="61" t="str">
        <v>Dreamer 4 trains agents inside a scalable video world model learned from offline data. Its main application is Minecraft, while separate ablations examine the amount of action-labeled video required for prediction.</v>
      </c>
      <c r="E23" s="63" t="str">
        <v>https://arxiv.org/abs/2509.24527</v>
      </c>
      <c r="F23" s="61" t="str">
        <v>World model/predictive system</v>
      </c>
      <c r="G23" s="61" t="str">
        <v>Paper</v>
      </c>
      <c r="H23" s="62" t="str">
        <v>Pending</v>
      </c>
      <c r="I23" s="62" t="str"/>
      <c r="J23" s="61" t="str">
        <v>arXiv:2509.24527</v>
      </c>
      <c r="K23" s="61" t="str">
        <v>dreamer4</v>
      </c>
      <c r="L23" s="61" t="str"/>
      <c r="M23" s="61" t="str">
        <v>Previously primary-source-checked README catalogue and manuscript discussion; no new quantitative claims.</v>
      </c>
    </row>
    <row r="24" ht="62" customHeight="1">
      <c r="A24" s="60" t="n">
        <v>16</v>
      </c>
      <c r="B24" s="60" t="n">
        <v>2025</v>
      </c>
      <c r="C24" s="61" t="str">
        <v>J. Cen, C. Yu, H. Yuan, Y. Jiang, S. Huang, J. Guo, X. Li, Y. Song, H. Luo, F. Wang et al., “WorldVLA: Towards autoregressive action world model,” arXiv preprint, 2025, arXiv:2506.21539.</v>
      </c>
      <c r="D24" s="61" t="str">
        <v>WorldVLA uses shared autoregressive modeling for robot actions and future observations. Its predictive-training experiments provide evidence about joint learning without establishing a general advantage for online candidate-action search.</v>
      </c>
      <c r="E24" s="63" t="str">
        <v>https://arxiv.org/abs/2506.21539</v>
      </c>
      <c r="F24" s="61" t="str">
        <v>World model/predictive system</v>
      </c>
      <c r="G24" s="61" t="str">
        <v>Paper</v>
      </c>
      <c r="H24" s="62" t="str">
        <v>Pending</v>
      </c>
      <c r="I24" s="62" t="str"/>
      <c r="J24" s="61" t="str">
        <v>arXiv:2506.21539</v>
      </c>
      <c r="K24" s="61" t="str">
        <v>worldvla</v>
      </c>
      <c r="L24" s="61" t="str"/>
      <c r="M24" s="61" t="str">
        <v>Previously primary-source-checked README catalogue and manuscript discussion; no new quantitative claims.</v>
      </c>
    </row>
    <row r="25" ht="70" customHeight="1">
      <c r="A25" s="60" t="n">
        <v>17</v>
      </c>
      <c r="B25" s="60" t="n">
        <v>2026</v>
      </c>
      <c r="C25" s="61" t="str">
        <v>M. J. Kim, Y. Gao, T.-Y. Lin, Y.-C. Lin, Y. Ge, G. Lam, P. Liang, S. Song, M.-Y. Liu, C. Finn, and J. Gu, “Cosmos Policy: Fine-tuning video models for visuomotor control and planning,” in Proc. Int. Conf. Learn. Representations (ICLR), 2026, arXiv:2601.16163.</v>
      </c>
      <c r="D25" s="61" t="str">
        <v>Cosmos Policy adapts a video model to jointly generate actions, future states, and values. It evaluates direct visuomotor execution alongside rollout refinement and candidate selection for planning.</v>
      </c>
      <c r="E25" s="63" t="str">
        <v>https://arxiv.org/abs/2601.16163</v>
      </c>
      <c r="F25" s="61" t="str">
        <v>World model/predictive system</v>
      </c>
      <c r="G25" s="61" t="str">
        <v>Paper</v>
      </c>
      <c r="H25" s="62" t="str">
        <v>Pending</v>
      </c>
      <c r="I25" s="62" t="str"/>
      <c r="J25" s="61" t="str">
        <v>arXiv:2601.16163</v>
      </c>
      <c r="K25" s="61" t="str">
        <v>cosmospolicy</v>
      </c>
      <c r="L25" s="61" t="str"/>
      <c r="M25" s="61" t="str">
        <v>Previously primary-source-checked README catalogue and manuscript discussion; no new quantitative claims.</v>
      </c>
    </row>
    <row r="26" ht="62" customHeight="1">
      <c r="A26" s="60" t="n">
        <v>18</v>
      </c>
      <c r="B26" s="60" t="n">
        <v>2026</v>
      </c>
      <c r="C26" s="61" t="str">
        <v>Y. Ma, Z. Song, Y. Zhuang, J. Hao, and I. King, “A survey on vision-language-action models for embodied AI,” IEEE Trans. Neural Netw. Learn. Syst, 2026, arXiv:2405.14093.</v>
      </c>
      <c r="D26" s="61" t="str">
        <v>This survey organizes VLA research into model components, low-level control policies, and high-level task planners. It also reviews datasets, simulators, and benchmarks that support language-conditioned embodied action.</v>
      </c>
      <c r="E26" s="63" t="str">
        <v>https://arxiv.org/abs/2405.14093</v>
      </c>
      <c r="F26" s="61" t="str">
        <v>Survey</v>
      </c>
      <c r="G26" s="61" t="str">
        <v>Paper</v>
      </c>
      <c r="H26" s="62" t="str">
        <v>Pending</v>
      </c>
      <c r="I26" s="62" t="str"/>
      <c r="J26" s="61" t="str">
        <v>arXiv:2405.14093</v>
      </c>
      <c r="K26" s="61" t="str">
        <v>ma2024survey</v>
      </c>
      <c r="L26" s="61" t="str"/>
      <c r="M26" s="61" t="str">
        <v>Primary-source abstract or article and manuscript context; source reviewed 2026-09-24.</v>
      </c>
    </row>
    <row r="27" ht="62" customHeight="1">
      <c r="A27" s="60" t="n">
        <v>19</v>
      </c>
      <c r="B27" s="60" t="n">
        <v>2025</v>
      </c>
      <c r="C27" s="61" t="str">
        <v>Y. Zhong, F. Bai, S. Cai, X. Huang, Z. Chen, X. Zhang, Y. Wang, S. Guo, T. Guan, K. N. Lui et al., “A survey on vision-language-action models: An action tokenization perspective,” arXiv preprint, 2025, arXiv:2507.01925.</v>
      </c>
      <c r="D27" s="61" t="str">
        <v>This survey compares VLA systems through the intermediate representations used to express actions. Its tokenization taxonomy spans language, code, affordances, trajectories, goals, latent codes, raw actions, and reasoning.</v>
      </c>
      <c r="E27" s="63" t="str">
        <v>https://arxiv.org/abs/2507.01925</v>
      </c>
      <c r="F27" s="61" t="str">
        <v>Survey</v>
      </c>
      <c r="G27" s="61" t="str">
        <v>Paper</v>
      </c>
      <c r="H27" s="62" t="str">
        <v>Pending</v>
      </c>
      <c r="I27" s="62" t="str"/>
      <c r="J27" s="61" t="str">
        <v>arXiv:2507.01925</v>
      </c>
      <c r="K27" s="61" t="str">
        <v>zhong2025token</v>
      </c>
      <c r="L27" s="61" t="str"/>
      <c r="M27" s="61" t="str">
        <v>Primary-source abstract or article and manuscript context; source reviewed 2026-09-24.</v>
      </c>
    </row>
    <row r="28" ht="62" customHeight="1">
      <c r="A28" s="60" t="n">
        <v>20</v>
      </c>
      <c r="B28" s="60" t="n">
        <v>2025</v>
      </c>
      <c r="C28" s="61" t="str">
        <v>K. Kawaharazuka, J. Oh, J. Yamada, I. Posner, and Y. Zhu, “Visionlanguage-action models for robotics: A review towards real-world applications,” IEEE Access, vol. 13, pp. 162 467–162 504, 2025.</v>
      </c>
      <c r="D28" s="61" t="str">
        <v>This review connects VLA architectures and learning methods with the practical requirements of robot deployment. It covers hardware platforms, data collection, augmentation, datasets, and evaluation alongside model design.</v>
      </c>
      <c r="E28" s="63" t="str">
        <v>https://arxiv.org/abs/2510.07077</v>
      </c>
      <c r="F28" s="61" t="str">
        <v>Survey</v>
      </c>
      <c r="G28" s="61" t="str">
        <v>Paper</v>
      </c>
      <c r="H28" s="62" t="str">
        <v>Pending</v>
      </c>
      <c r="I28" s="62" t="str"/>
      <c r="J28" s="61" t="str">
        <v>arXiv:2510.07077</v>
      </c>
      <c r="K28" s="61" t="str">
        <v>kawaharazuka2025</v>
      </c>
      <c r="L28" s="61" t="str"/>
      <c r="M28" s="61" t="str">
        <v>Primary-source abstract or article and manuscript context; source reviewed 2026-09-24.</v>
      </c>
    </row>
    <row r="29" ht="62" customHeight="1">
      <c r="A29" s="60" t="n">
        <v>21</v>
      </c>
      <c r="B29" s="60" t="n">
        <v>2026</v>
      </c>
      <c r="C29" s="61" t="str">
        <v>M. U. Din, W. Akram, L. S. Saoud, J. Rosell, and I. Hussain, “Multimodal fusion with vision-language-action models for robotic manipulation: A systematic review,” Information Fusion, vol. 129, p. 104062, 2026.</v>
      </c>
      <c r="D29" s="61" t="str">
        <v>This systematic review organizes manipulation VLAs by multimodal fusion strategies, architectures, datasets, and evaluation resources. It also develops an agentic outlook in which planners use VLA skills with verification and diagnostic feedback.</v>
      </c>
      <c r="E29" s="63" t="str">
        <v>https://doi.org/10.1016/j.inffus.2025.104062</v>
      </c>
      <c r="F29" s="61" t="str">
        <v>Survey</v>
      </c>
      <c r="G29" s="61" t="str">
        <v>Paper</v>
      </c>
      <c r="H29" s="62" t="str">
        <v>Pending</v>
      </c>
      <c r="I29" s="62" t="str"/>
      <c r="J29" s="61" t="str">
        <v>10.1016/j.inffus.2025.104062</v>
      </c>
      <c r="K29" s="61" t="str">
        <v>din2025priorvlasurvey</v>
      </c>
      <c r="L29" s="61" t="str"/>
      <c r="M29" s="61" t="str">
        <v>Published article abstract and agentic-framework discussion, previously checked in the authors institutional repository.</v>
      </c>
    </row>
    <row r="30" ht="62" customHeight="1">
      <c r="A30" s="60" t="n">
        <v>22</v>
      </c>
      <c r="B30" s="60" t="n">
        <v>2026</v>
      </c>
      <c r="C30" s="61" t="str">
        <v>B. Hou, G. Li, J. Jia, T. An, X. Guo, S. Leng, H. Geng, Y. Ze, T. Harada, P. Torr et al., “World model for robot learning: A comprehensive survey,” arXiv preprint, 2026, arXiv:2605.00080.</v>
      </c>
      <c r="D30" s="61" t="str">
        <v>This survey reviews world models according to their roles in robot-policy learning, planning, simulation, data generation, and evaluation. It relates policy coupling and controllable video prediction to datasets and experimental protocols across embodied domains.</v>
      </c>
      <c r="E30" s="63" t="str">
        <v>https://arxiv.org/abs/2605.00080</v>
      </c>
      <c r="F30" s="61" t="str">
        <v>Survey</v>
      </c>
      <c r="G30" s="61" t="str">
        <v>Paper</v>
      </c>
      <c r="H30" s="62" t="str">
        <v>Pending</v>
      </c>
      <c r="I30" s="62" t="str"/>
      <c r="J30" s="61" t="str">
        <v>arXiv:2605.00080</v>
      </c>
      <c r="K30" s="61" t="str">
        <v>hou2026wm</v>
      </c>
      <c r="L30" s="61" t="str"/>
      <c r="M30" s="61" t="str">
        <v>Primary-source abstract or article and manuscript context; source reviewed 2026-09-24.</v>
      </c>
    </row>
    <row r="31" ht="62" customHeight="1">
      <c r="A31" s="60" t="n">
        <v>23</v>
      </c>
      <c r="B31" s="60" t="n">
        <v>2025</v>
      </c>
      <c r="C31" s="61" t="str">
        <v>X. Li, X. He, L. Zhang, M. Wu, X. Li, and Y. Liu, “A comprehensive survey on world models for embodied AI,” arXiv preprint, 2025, arXiv:2510.16732.</v>
      </c>
      <c r="D31" s="61" t="str">
        <v>This survey classifies embodied world models by functionality, temporal modeling, and spatial representation. It compares data resources and evaluation criteria while emphasizing physical consistency, temporal coherence, and computational cost.</v>
      </c>
      <c r="E31" s="63" t="str">
        <v>https://arxiv.org/abs/2510.16732</v>
      </c>
      <c r="F31" s="61" t="str">
        <v>Survey</v>
      </c>
      <c r="G31" s="61" t="str">
        <v>Paper</v>
      </c>
      <c r="H31" s="62" t="str">
        <v>Pending</v>
      </c>
      <c r="I31" s="62" t="str"/>
      <c r="J31" s="61" t="str">
        <v>arXiv:2510.16732</v>
      </c>
      <c r="K31" s="61" t="str">
        <v>li2025wm</v>
      </c>
      <c r="L31" s="61" t="str"/>
      <c r="M31" s="61" t="str">
        <v>Primary-source abstract or article and manuscript context; source reviewed 2026-09-24.</v>
      </c>
    </row>
    <row r="32" ht="70" customHeight="1">
      <c r="A32" s="60" t="n">
        <v>24</v>
      </c>
      <c r="B32" s="60" t="n">
        <v>2026</v>
      </c>
      <c r="C32" s="61" t="str">
        <v>F. Wang, Z. Wang, G. Pei, M. Zhang, C. Liang, J. Hu, Z. Li, J. Wu, N. Han, Z. Zhang, J. Qi, H. Wu, S. Zhang, P. Zheng, J. Pan, D. NavarroAlarcon, S. Liu, and P. Zhou, “World models for robotic manipulation: A survey,” arXiv preprint, 2026, arXiv:2606.00113.</v>
      </c>
      <c r="D32" s="61" t="str">
        <v>This manipulation-focused survey separates predicted representations, action coupling, and the stage at which prediction is used. It distinguishes integrated prediction-action systems from explicit planners and examines evaluation of predictive fidelity and control utility.</v>
      </c>
      <c r="E32" s="63" t="str">
        <v>https://arxiv.org/abs/2606.00113</v>
      </c>
      <c r="F32" s="61" t="str">
        <v>Survey</v>
      </c>
      <c r="G32" s="61" t="str">
        <v>Paper</v>
      </c>
      <c r="H32" s="62" t="str">
        <v>Pending</v>
      </c>
      <c r="I32" s="62" t="str"/>
      <c r="J32" s="61" t="str">
        <v>arXiv:2606.00113</v>
      </c>
      <c r="K32" s="61" t="str">
        <v>wang2026manipwmsurvey</v>
      </c>
      <c r="L32" s="61" t="str"/>
      <c r="M32" s="61" t="str">
        <v>Primary-source abstract or article and manuscript context; source reviewed 2026-09-24.</v>
      </c>
    </row>
    <row r="33" ht="62" customHeight="1">
      <c r="A33" s="60" t="n">
        <v>25</v>
      </c>
      <c r="B33" s="60" t="n">
        <v>2026</v>
      </c>
      <c r="C33" s="61" t="str">
        <v>S. Wang, J. Shi, Z. Fu, X. He, F. Liu, C. Yang, Y. Zhou, Z. Fei, J. Gong, J. Fu, M. Z. Shou, X. Huang, X. Qiu, and Y.-G. Jiang, “World action models: The next frontier in embodied AI,” arXiv preprint, 2026, arXiv:2605.12090.</v>
      </c>
      <c r="D33" s="61" t="str">
        <v>This survey describes world-action models as systems that combine predictive state modeling with action generation. It distinguishes cascaded and joint architectures and reviews their data requirements and evaluation dimensions.</v>
      </c>
      <c r="E33" s="63" t="str">
        <v>https://arxiv.org/abs/2605.12090</v>
      </c>
      <c r="F33" s="61" t="str">
        <v>Survey</v>
      </c>
      <c r="G33" s="61" t="str">
        <v>Paper</v>
      </c>
      <c r="H33" s="62" t="str">
        <v>Pending</v>
      </c>
      <c r="I33" s="62" t="str"/>
      <c r="J33" s="61" t="str">
        <v>arXiv:2605.12090</v>
      </c>
      <c r="K33" s="61" t="str">
        <v>wamfrontier</v>
      </c>
      <c r="L33" s="61" t="str"/>
      <c r="M33" s="61" t="str">
        <v>Primary-source abstract or article and manuscript context; source reviewed 2026-09-24.</v>
      </c>
    </row>
    <row r="34" ht="62" customHeight="1">
      <c r="A34" s="60" t="n">
        <v>26</v>
      </c>
      <c r="B34" s="60" t="n">
        <v>2026</v>
      </c>
      <c r="C34" s="61" t="str">
        <v>Q. Shen, S. Zhang, Y. Liao, Q. Li, Z. Tan, S. Wang, X. Wang et al., “World action models: A survey,” arXiv preprint, 2026, arXiv:2606.20781.</v>
      </c>
      <c r="D34" s="61" t="str">
        <v>This survey distinguishes world-action models by the futures they generate and how prediction is connected to actions. It compares predictive representations, backbones, deployment modes, and the trade-offs between forecast detail and control cost.</v>
      </c>
      <c r="E34" s="63" t="str">
        <v>https://arxiv.org/abs/2606.20781</v>
      </c>
      <c r="F34" s="61" t="str">
        <v>Survey</v>
      </c>
      <c r="G34" s="61" t="str">
        <v>Paper</v>
      </c>
      <c r="H34" s="62" t="str">
        <v>Pending</v>
      </c>
      <c r="I34" s="62" t="str"/>
      <c r="J34" s="61" t="str">
        <v>arXiv:2606.20781</v>
      </c>
      <c r="K34" s="61" t="str">
        <v>wamsurvey</v>
      </c>
      <c r="L34" s="61" t="str"/>
      <c r="M34" s="61" t="str">
        <v>Primary-source abstract or article and manuscript context; source reviewed 2026-09-24.</v>
      </c>
    </row>
    <row r="35" ht="62" customHeight="1">
      <c r="A35" s="60" t="n">
        <v>27</v>
      </c>
      <c r="B35" s="60" t="n">
        <v>2025</v>
      </c>
      <c r="C35" s="61" t="str">
        <v>R. Sapkota, Y. Cao, K. I. Roumeliotis, and M. Karkee, “Vision-languageaction models: Concepts, progress, applications and challenges,” arXiv preprint, 2025, arXiv:2505.04769.</v>
      </c>
      <c r="D35" s="61" t="str">
        <v>This review introduces VLA concepts and surveys architectures, training strategies, and inference methods. It examines applications across robotic domains and discusses adaptation and cross-embodiment planning challenges.</v>
      </c>
      <c r="E35" s="63" t="str">
        <v>https://arxiv.org/abs/2505.04769</v>
      </c>
      <c r="F35" s="61" t="str">
        <v>Survey</v>
      </c>
      <c r="G35" s="61" t="str">
        <v>Paper</v>
      </c>
      <c r="H35" s="62" t="str">
        <v>Pending</v>
      </c>
      <c r="I35" s="62" t="str"/>
      <c r="J35" s="61" t="str">
        <v>arXiv:2505.04769</v>
      </c>
      <c r="K35" s="61" t="str">
        <v>sapkota2025</v>
      </c>
      <c r="L35" s="61" t="str"/>
      <c r="M35" s="61" t="str">
        <v>Primary-source abstract or article and manuscript context; source reviewed 2026-09-24.</v>
      </c>
    </row>
    <row r="36" ht="62" customHeight="1">
      <c r="A36" s="60" t="n">
        <v>28</v>
      </c>
      <c r="B36" s="60" t="n">
        <v>2025</v>
      </c>
      <c r="C36" s="61" t="str">
        <v>R. Shao, W. Li, L. Zhang, R. Zhang, Z. Liu, R. Chen, and L. Nie, “Large VLM-based vision-language-action models for robotic manipulation: A survey,” arXiv preprint, 2025, arXiv:2508.13073.</v>
      </c>
      <c r="D36" s="61" t="str">
        <v>This survey focuses on manipulation policies built on large pretrained vision-language models. It distinguishes monolithic and hierarchical architectures and reviews connections with reinforcement learning, human video, and world models.</v>
      </c>
      <c r="E36" s="63" t="str">
        <v>https://arxiv.org/abs/2508.13073</v>
      </c>
      <c r="F36" s="61" t="str">
        <v>Survey</v>
      </c>
      <c r="G36" s="61" t="str">
        <v>Paper</v>
      </c>
      <c r="H36" s="62" t="str">
        <v>Pending</v>
      </c>
      <c r="I36" s="62" t="str"/>
      <c r="J36" s="61" t="str">
        <v>arXiv:2508.13073</v>
      </c>
      <c r="K36" s="61" t="str">
        <v>shao2025</v>
      </c>
      <c r="L36" s="61" t="str"/>
      <c r="M36" s="61" t="str">
        <v>Primary-source abstract or article and manuscript context; source reviewed 2026-09-24.</v>
      </c>
    </row>
    <row r="37" ht="62" customHeight="1">
      <c r="A37" s="60" t="n">
        <v>29</v>
      </c>
      <c r="B37" s="60" t="n">
        <v>2025</v>
      </c>
      <c r="C37" s="61" t="str">
        <v>Z. Yu, B. Wang, P. Zeng, H. Zhang, J. Zhang, Z. Wang, L. Gao, J. Song, N. Sebe, and H. T. Shen, “A survey on efficient vision-language-action models,” arXiv preprint, 2025, arXiv:2510.24795.</v>
      </c>
      <c r="D37" s="61" t="str">
        <v>This survey organizes VLA efficiency research around model design, training, and robotic-data collection. It compares architectural compression and other resource-saving strategies across the learning and deployment pipeline.</v>
      </c>
      <c r="E37" s="63" t="str">
        <v>https://arxiv.org/abs/2510.24795</v>
      </c>
      <c r="F37" s="61" t="str">
        <v>Survey</v>
      </c>
      <c r="G37" s="61" t="str">
        <v>Paper</v>
      </c>
      <c r="H37" s="62" t="str">
        <v>Pending</v>
      </c>
      <c r="I37" s="62" t="str"/>
      <c r="J37" s="61" t="str">
        <v>arXiv:2510.24795</v>
      </c>
      <c r="K37" s="61" t="str">
        <v>yu2025efficient</v>
      </c>
      <c r="L37" s="61" t="str"/>
      <c r="M37" s="61" t="str">
        <v>Primary-source abstract or article and manuscript context; source reviewed 2026-09-24.</v>
      </c>
    </row>
    <row r="38" ht="62" customHeight="1">
      <c r="A38" s="60" t="n">
        <v>30</v>
      </c>
      <c r="B38" s="60" t="n">
        <v>2025</v>
      </c>
      <c r="C38" s="61" t="str">
        <v>Deng et al., “A survey on reinforcement learning of vision-languageaction models for robotic manipulation,” TechRxiv, 2025.</v>
      </c>
      <c r="D38" s="61" t="str">
        <v>This survey reviews reinforcement learning for adapting pretrained VLA models to robotic manipulation. It organizes architectures, online and offline learning, deployment considerations, and evaluation within a shared training-to-deployment framework.</v>
      </c>
      <c r="E38" s="63" t="str">
        <v>https://doi.org/10.36227/techrxiv.176531955.54563920/v1</v>
      </c>
      <c r="F38" s="61" t="str">
        <v>Survey</v>
      </c>
      <c r="G38" s="61" t="str">
        <v>Paper</v>
      </c>
      <c r="H38" s="62" t="str">
        <v>Pending</v>
      </c>
      <c r="I38" s="62" t="str"/>
      <c r="J38" s="61" t="str">
        <v>https://doi.org/10.36227/techrxiv.176531955.54563920/v1</v>
      </c>
      <c r="K38" s="61" t="str">
        <v>deng2025rl</v>
      </c>
      <c r="L38" s="61" t="str"/>
      <c r="M38" s="61" t="str">
        <v>Primary preprint abstract and author-maintained survey repository; DOI recovered from its citation record (2026-09-24).</v>
      </c>
    </row>
    <row r="39" ht="62" customHeight="1">
      <c r="A39" s="60" t="n">
        <v>31</v>
      </c>
      <c r="B39" s="60" t="n">
        <v>2025</v>
      </c>
      <c r="C39" s="61" t="str">
        <v>T. Feng, X. Wang, Y.-G. Jiang, and W. Zhu, “Embodied AI: From LLMs to world models,” IEEE Circuits Syst. Mag., vol. 25, no. 4, pp. 14–37, 2025, arXiv:2509.20021.</v>
      </c>
      <c r="D39" s="61" t="str">
        <v>This review contrasts the semantic reasoning provided by language models with the predictive capabilities of world models in embodied AI. It argues for combining these capabilities and surveys supporting technologies, hardware, and applications.</v>
      </c>
      <c r="E39" s="63" t="str">
        <v>https://arxiv.org/abs/2509.20021</v>
      </c>
      <c r="F39" s="61" t="str">
        <v>Survey</v>
      </c>
      <c r="G39" s="61" t="str">
        <v>Paper</v>
      </c>
      <c r="H39" s="62" t="str">
        <v>Pending</v>
      </c>
      <c r="I39" s="62" t="str"/>
      <c r="J39" s="61" t="str">
        <v>arXiv:2509.20021</v>
      </c>
      <c r="K39" s="61" t="str">
        <v>feng2025</v>
      </c>
      <c r="L39" s="61" t="str"/>
      <c r="M39" s="61" t="str">
        <v>Primary-source abstract or article and manuscript context; source reviewed 2026-09-24.</v>
      </c>
    </row>
    <row r="40" ht="62" customHeight="1">
      <c r="A40" s="60" t="n">
        <v>32</v>
      </c>
      <c r="B40" s="60" t="n">
        <v>2025</v>
      </c>
      <c r="C40" s="61" t="str">
        <v>K. Zhang, P. Yun, J. Cen, J. Cai, D. Zhu, H. Yuan, C. Zhao, T. Feng, M. Y. Wang, Q. Chen et al., “Generative artificial intelligence in robotic manipulation: A survey,” arXiv preprint, 2025, arXiv:2503.03464. [Online]. Available:</v>
      </c>
      <c r="D40" s="61" t="str">
        <v>This survey reviews generative models used for robotic data, rewards, intermediate plans, and control outputs. Its layered taxonomy relates data generation and task reasoning to grasp and trajectory generation.</v>
      </c>
      <c r="E40" s="63" t="str">
        <v>https://arxiv.org/abs/2503.03464</v>
      </c>
      <c r="F40" s="61" t="str">
        <v>Survey</v>
      </c>
      <c r="G40" s="61" t="str">
        <v>Paper</v>
      </c>
      <c r="H40" s="62" t="str">
        <v>Pending</v>
      </c>
      <c r="I40" s="62" t="str"/>
      <c r="J40" s="61" t="str">
        <v>arXiv:2503.03464</v>
      </c>
      <c r="K40" s="61" t="str">
        <v>zhang2025generative</v>
      </c>
      <c r="L40" s="61" t="str"/>
      <c r="M40" s="61" t="str">
        <v>Primary-source abstract or article and manuscript context; source reviewed 2026-09-24.</v>
      </c>
    </row>
    <row r="41" ht="70" customHeight="1">
      <c r="A41" s="60" t="n">
        <v>33</v>
      </c>
      <c r="B41" s="60" t="n">
        <v>2025</v>
      </c>
      <c r="C41" s="61" t="str">
        <v>J. Ding, Y. Zhang, Y. Shang, Y. Zhang, Z. Zong, J. Feng, Y. Yuan, H. Su, N. Li, N. Sukiennik et al., “Understanding world or predicting future? A comprehensive survey of world models,” ACM Computing Surveys, vol. 58, no. 3, pp. 1–38, 2025.</v>
      </c>
      <c r="D41" s="61" t="str">
        <v>This survey distinguishes world models that construct internal representations from those that simulate future states. It reviews these roles across robotics, autonomous driving, and other domains and identifies open modeling challenges.</v>
      </c>
      <c r="E41" s="63" t="str">
        <v>https://doi.org/10.1145/3746449</v>
      </c>
      <c r="F41" s="61" t="str">
        <v>Survey</v>
      </c>
      <c r="G41" s="61" t="str">
        <v>Paper</v>
      </c>
      <c r="H41" s="62" t="str">
        <v>Pending</v>
      </c>
      <c r="I41" s="62" t="str"/>
      <c r="J41" s="61" t="str">
        <v>https://doi.org/10.1145/3746449</v>
      </c>
      <c r="K41" s="61" t="str">
        <v>ding2025worldsurvey</v>
      </c>
      <c r="L41" s="61" t="str"/>
      <c r="M41" s="61" t="str">
        <v>Primary-source abstract or article and manuscript context; source reviewed 2026-09-24.</v>
      </c>
    </row>
    <row r="42" ht="85" customHeight="1">
      <c r="A42" s="60" t="n">
        <v>34</v>
      </c>
      <c r="B42" s="60" t="n">
        <v>2025</v>
      </c>
      <c r="C42" s="61" t="str">
        <v>X. Li et al., “A step toward world models: A survey on robotic manipulation,” arXiv preprint, 2025, arXiv:2511.02097.</v>
      </c>
      <c r="D42" s="61" t="str">
        <v>This survey examines manipulation methods that exhibit world-model capabilities, including approaches not explicitly labeled as world models. It uses their roles in perception, prediction, and control to identify the components needed for broader predictive robotics.</v>
      </c>
      <c r="E42" s="63" t="str">
        <v>https://arxiv.org/abs/2511.02097</v>
      </c>
      <c r="F42" s="61" t="str">
        <v>Survey</v>
      </c>
      <c r="G42" s="61" t="str">
        <v>Paper</v>
      </c>
      <c r="H42" s="62" t="str">
        <v>Pending</v>
      </c>
      <c r="I42" s="62" t="str"/>
      <c r="J42" s="61" t="str">
        <v>arXiv:2511.02097</v>
      </c>
      <c r="K42" s="61" t="str">
        <v>li2025step</v>
      </c>
      <c r="L42" s="61" t="str">
        <v>The as-cited reference lists X. Li et al.; the primary source instead identifies Peng-Fei Zhang and colleagues. Citation number, key and as-cited wording are retained for traceability; the author attribution requires correction in the manuscript bibliography.</v>
      </c>
      <c r="M42" s="61" t="str">
        <v>Primary-source abstract or article and manuscript context; source reviewed 2026-09-24.</v>
      </c>
    </row>
    <row r="43" ht="62" customHeight="1">
      <c r="A43" s="60" t="n">
        <v>35</v>
      </c>
      <c r="B43" s="60" t="n">
        <v>2025</v>
      </c>
      <c r="C43" s="61" t="str">
        <v>Jiang et al., “A survey on vision-language-action models for autonomous driving,” in Proc. IEEE/CVF Int. Conf. Comput. Vis. Workshops (ICCVW), WDFM-AD, 2025.</v>
      </c>
      <c r="D43" s="61" t="str">
        <v>This survey reviews vision-language-action architectures for autonomous driving, including their progression toward reasoning-centered control. It compares vehicle-domain datasets and evaluation concerns such as safety, instruction following, and explanation quality.</v>
      </c>
      <c r="E43" s="63" t="str">
        <v>https://openaccess.thecvf.com/content/ICCV2025W/WDFM-AD/html/Jiang_A_Survey_on_Vision-Language-Action_Models_for_Autonomous_Driving_ICCVW_2025_paper.html</v>
      </c>
      <c r="F43" s="61" t="str">
        <v>Survey</v>
      </c>
      <c r="G43" s="61" t="str">
        <v>Paper</v>
      </c>
      <c r="H43" s="62" t="str">
        <v>Pending</v>
      </c>
      <c r="I43" s="62" t="str"/>
      <c r="J43" s="61" t="str">
        <v>https://openaccess.thecvf.com/content/ICCV2025W/WDFM-AD/html/Jiang_A_Survey_on_Vision-Language-Action_Models_for_Autonomous_Driving_ICCVW_2025_paper.html</v>
      </c>
      <c r="K43" s="61" t="str">
        <v>jiang2025driving</v>
      </c>
      <c r="L43" s="61" t="str"/>
      <c r="M43" s="61" t="str">
        <v>Primary-source abstract or article and manuscript context; source reviewed 2026-09-24.</v>
      </c>
    </row>
    <row r="44" ht="62" customHeight="1">
      <c r="A44" s="60" t="n">
        <v>36</v>
      </c>
      <c r="B44" s="60" t="n">
        <v>2025</v>
      </c>
      <c r="C44" s="61" t="str">
        <v>D. Zhang, J. Sun, C. Hu, X. Wu, Z. Yuan, R. Zhou, F. Shen, and Q. Zhou, “Pure vision language action (VLA) models: A comprehensive survey,” arXiv preprint, 2025, arXiv:2509.19012.</v>
      </c>
      <c r="D44" s="61" t="str">
        <v>This survey classifies VLA methods into autoregressive, diffusion, reinforcement-learning, hybrid, and specialized approaches. It connects these design choices to application scenarios, datasets, benchmarks, and simulators.</v>
      </c>
      <c r="E44" s="63" t="str">
        <v>https://arxiv.org/abs/2509.19012</v>
      </c>
      <c r="F44" s="61" t="str">
        <v>Survey</v>
      </c>
      <c r="G44" s="61" t="str">
        <v>Paper</v>
      </c>
      <c r="H44" s="62" t="str">
        <v>Pending</v>
      </c>
      <c r="I44" s="62" t="str"/>
      <c r="J44" s="61" t="str">
        <v>arXiv:2509.19012</v>
      </c>
      <c r="K44" s="61" t="str">
        <v>zhang2025pure</v>
      </c>
      <c r="L44" s="61" t="str"/>
      <c r="M44" s="61" t="str">
        <v>Primary-source abstract or article and manuscript context; source reviewed 2026-09-24.</v>
      </c>
    </row>
    <row r="45" ht="70" customHeight="1">
      <c r="A45" s="60" t="n">
        <v>37</v>
      </c>
      <c r="B45" s="60" t="n">
        <v>2021</v>
      </c>
      <c r="C45" s="61" t="str">
        <v>M. J. Page, J. E. McKenzie, P. M. Bossuyt, I. Boutron, T. C. Hoffmann, C. D. Mulrow, L. Shamseer, J. M. Tetzlaff, E. A. Akl, S. E. Brennan et al., “The PRISMA 2020 statement: An updated guideline for reporting systematic reviews,” BMJ, vol. 372, p. n71, 2021.</v>
      </c>
      <c r="D45" s="61" t="str">
        <v>The PRISMA 2020 statement provides reporting guidance for systematic reviews through checklists and flow-diagram templates. It supports transparent reporting of searches, selection, synthesis, and limitations rather than certifying that a review was conducted correctly.</v>
      </c>
      <c r="E45" s="63" t="str">
        <v>https://doi.org/10.1136/bmj.n71</v>
      </c>
      <c r="F45" s="61" t="str">
        <v>Methodology</v>
      </c>
      <c r="G45" s="61" t="str">
        <v>Paper</v>
      </c>
      <c r="H45" s="62" t="str">
        <v>Pending</v>
      </c>
      <c r="I45" s="62" t="str"/>
      <c r="J45" s="61" t="str">
        <v>https://doi.org/10.1136/bmj.n71</v>
      </c>
      <c r="K45" s="61" t="str">
        <v>prisma2020</v>
      </c>
      <c r="L45" s="61" t="str"/>
      <c r="M45" s="61" t="str">
        <v>Original statement and official PRISMA statement/checklist descriptions; reviewed 2026-09-24.</v>
      </c>
    </row>
    <row r="46" ht="62" customHeight="1">
      <c r="A46" s="60" t="n">
        <v>38</v>
      </c>
      <c r="B46" s="60" t="n">
        <v>2023</v>
      </c>
      <c r="C46" s="61" t="str">
        <v>A. Brohan, N. Brown, J. Carbajal, Y. Chebotar, J. Dabis, C. Finn, K. Gopalakrishnan, K. Hausman, A. Herzog, J. Hsu et al., “RT-1: Robotics transformer for real-world control at scale,” arXiv preprint, 2023, arXiv:2212.06817.</v>
      </c>
      <c r="D46" s="61" t="str">
        <v>RT-1 maps camera observations and language instructions to discretized robot commands using a transformer policy. It is an early language-conditioned control precursor to later VLA foundation models.</v>
      </c>
      <c r="E46" s="63" t="str">
        <v>https://arxiv.org/abs/2212.06817</v>
      </c>
      <c r="F46" s="61" t="str">
        <v>VLA/action policy</v>
      </c>
      <c r="G46" s="61" t="str">
        <v>Paper</v>
      </c>
      <c r="H46" s="62" t="str">
        <v>Pending</v>
      </c>
      <c r="I46" s="62" t="str"/>
      <c r="J46" s="61" t="str">
        <v>arXiv:2212.06817</v>
      </c>
      <c r="K46" s="61" t="str">
        <v>rt1</v>
      </c>
      <c r="L46" s="61" t="str"/>
      <c r="M46" s="61" t="str">
        <v>Previously primary-source-checked README catalogue and manuscript discussion; no new quantitative claims.</v>
      </c>
    </row>
    <row r="47" ht="70" customHeight="1">
      <c r="A47" s="60" t="n">
        <v>39</v>
      </c>
      <c r="B47" s="60" t="n">
        <v>2023</v>
      </c>
      <c r="C47" s="61" t="str">
        <v>Y. Jiang, A. Gupta, Z. Zhang, G. Wang, Y. Dou, Y. Chen, L. Fei-Fei, A. Anandkumar, Y. Zhu, and L. Fan, “VIMA: General robot manipulation with multimodal prompts,” in International Conference on Machine Learning (ICML), 2023, arXiv:2210.03094.</v>
      </c>
      <c r="D47" s="61" t="str">
        <v>VIMA specifies manipulation tasks using prompts that interleave text and images. A transformer policy converts these multimodal task descriptions and observations into robot actions.</v>
      </c>
      <c r="E47" s="63" t="str">
        <v>https://arxiv.org/abs/2210.03094</v>
      </c>
      <c r="F47" s="61" t="str">
        <v>VLA/action policy</v>
      </c>
      <c r="G47" s="61" t="str">
        <v>Paper</v>
      </c>
      <c r="H47" s="62" t="str">
        <v>Pending</v>
      </c>
      <c r="I47" s="62" t="str"/>
      <c r="J47" s="61" t="str">
        <v>arXiv:2210.03094</v>
      </c>
      <c r="K47" s="61" t="str">
        <v>vima</v>
      </c>
      <c r="L47" s="61" t="str"/>
      <c r="M47" s="61" t="str">
        <v>Previously primary-source-checked README catalogue and manuscript discussion; no new quantitative claims.</v>
      </c>
    </row>
    <row r="48" ht="62" customHeight="1">
      <c r="A48" s="60" t="n">
        <v>40</v>
      </c>
      <c r="B48" s="60" t="n">
        <v>2024</v>
      </c>
      <c r="C48" s="61" t="str">
        <v>X. Li, M. Liu, H. Zhang, C. Yu, J. Xu, H. Wu, C. Cheang, Y. Jing, W. Zhang, H. Liu et al., “Vision-language foundation models as effective robot imitators,” in Proc. Int. Conf. Learn. Representations (ICLR), 2024, arXiv:2311.01378.</v>
      </c>
      <c r="D48" s="61" t="str">
        <v>RoboFlamingo adapts a pretrained OpenFlamingo vision-language model for robot imitation learning. An action-prediction interface connects multimodal understanding to language-conditioned manipulation.</v>
      </c>
      <c r="E48" s="63" t="str">
        <v>https://arxiv.org/abs/2311.01378</v>
      </c>
      <c r="F48" s="61" t="str">
        <v>VLA/action policy</v>
      </c>
      <c r="G48" s="61" t="str">
        <v>Paper</v>
      </c>
      <c r="H48" s="62" t="str">
        <v>Pending</v>
      </c>
      <c r="I48" s="62" t="str"/>
      <c r="J48" s="61" t="str">
        <v>arXiv:2311.01378</v>
      </c>
      <c r="K48" s="61" t="str">
        <v>roboflamingo</v>
      </c>
      <c r="L48" s="61" t="str"/>
      <c r="M48" s="61" t="str">
        <v>Previously primary-source-checked README catalogue and manuscript discussion; no new quantitative claims.</v>
      </c>
    </row>
    <row r="49" ht="62" customHeight="1">
      <c r="A49" s="60" t="n">
        <v>41</v>
      </c>
      <c r="B49" s="60" t="n">
        <v>2024</v>
      </c>
      <c r="C49" s="61" t="str">
        <v>D. Niu, Y. Sharma, G. Biamby, J. Quenum, Y. Bai, B. Shi, T. Darrell, and R. Herzig, “LLARV A: Vision-action instruction tuning enhances robot learning,” in Proc. Conf. Robot Learn. (CoRL), 2024, arXiv:2406.11815.</v>
      </c>
      <c r="D49" s="61" t="str">
        <v>LLARVA uses vision-action instruction tuning with intermediate two-dimensional visual traces. These traces help align multimodal representations with the robot behaviors learned during adaptation.</v>
      </c>
      <c r="E49" s="63" t="str">
        <v>https://arxiv.org/abs/2406.11815</v>
      </c>
      <c r="F49" s="61" t="str">
        <v>VLA/action policy</v>
      </c>
      <c r="G49" s="61" t="str">
        <v>Paper</v>
      </c>
      <c r="H49" s="62" t="str">
        <v>Pending</v>
      </c>
      <c r="I49" s="62" t="str"/>
      <c r="J49" s="61" t="str">
        <v>arXiv:2406.11815</v>
      </c>
      <c r="K49" s="61" t="str">
        <v>llarva</v>
      </c>
      <c r="L49" s="61" t="str"/>
      <c r="M49" s="61" t="str">
        <v>Previously primary-source-checked README catalogue and manuscript discussion; no new quantitative claims.</v>
      </c>
    </row>
    <row r="50" ht="62" customHeight="1">
      <c r="A50" s="60" t="n">
        <v>42</v>
      </c>
      <c r="B50" s="60" t="n">
        <v>2025</v>
      </c>
      <c r="C50" s="61" t="str">
        <v>S. Ye, J. Jang, B. Jeon, S. Joo, J. Yang, B. Peng, A. Mandlekar, R. Tan et al., “Latent action pretraining from videos,” in International Conference on Learning Representations (ICLR), 2025, arXiv:2410.11758.</v>
      </c>
      <c r="D50" s="61" t="str">
        <v>LAPA learns latent action representations from video without ground-truth action labels during pretraining. Robot data subsequently maps the pretrained policy into executable robot actions.</v>
      </c>
      <c r="E50" s="63" t="str">
        <v>https://arxiv.org/abs/2410.11758</v>
      </c>
      <c r="F50" s="61" t="str">
        <v>VLA/action policy</v>
      </c>
      <c r="G50" s="61" t="str">
        <v>Paper</v>
      </c>
      <c r="H50" s="62" t="str">
        <v>Pending</v>
      </c>
      <c r="I50" s="62" t="str"/>
      <c r="J50" s="61" t="str">
        <v>arXiv:2410.11758</v>
      </c>
      <c r="K50" s="61" t="str">
        <v>lapa</v>
      </c>
      <c r="L50" s="61" t="str"/>
      <c r="M50" s="61" t="str">
        <v>Previously primary-source-checked README catalogue and manuscript discussion; no new quantitative claims.</v>
      </c>
    </row>
    <row r="51" ht="70" customHeight="1">
      <c r="A51" s="60" t="n">
        <v>43</v>
      </c>
      <c r="B51" s="60" t="n">
        <v>2025</v>
      </c>
      <c r="C51" s="61" t="str">
        <v>K. Pertsch, K. Stachowicz, B. Ichter, D. Driess, S. Nair, Q. Vuong, O. Mees, C. Finn, and S. Levine, “FAST: Efficient action tokenization for vision-language-action models,” in Proc. Robot.: Sci. Syst. (RSS), 2025, arXiv:2501.09747.</v>
      </c>
      <c r="D51" s="61" t="str">
        <v>FAST compresses continuous action chunks into frequency-domain tokens for autoregressive prediction. The π0-FAST policy demonstrates how this representation can support action generation for dexterous control.</v>
      </c>
      <c r="E51" s="63" t="str">
        <v>https://arxiv.org/abs/2501.09747</v>
      </c>
      <c r="F51" s="61" t="str">
        <v>VLA/action policy</v>
      </c>
      <c r="G51" s="61" t="str">
        <v>Paper</v>
      </c>
      <c r="H51" s="62" t="str">
        <v>Pending</v>
      </c>
      <c r="I51" s="62" t="str"/>
      <c r="J51" s="61" t="str">
        <v>arXiv:2501.09747</v>
      </c>
      <c r="K51" s="61" t="str">
        <v>fast</v>
      </c>
      <c r="L51" s="61" t="str"/>
      <c r="M51" s="61" t="str">
        <v>Previously primary-source-checked README catalogue and manuscript discussion; no new quantitative claims.</v>
      </c>
    </row>
    <row r="52" ht="62" customHeight="1">
      <c r="A52" s="60" t="n">
        <v>44</v>
      </c>
      <c r="B52" s="60" t="n">
        <v>2025</v>
      </c>
      <c r="C52" s="61" t="str">
        <v>Liang et al., “Discrete diffusion VLA: Bringing discrete diffusion to action decoding in vision-language-action policies,” arXiv preprint, 2025, arXiv:2508.20072.</v>
      </c>
      <c r="D52" s="61" t="str">
        <v>Discrete Diffusion VLA generates discretized action chunks through iterative diffusion-style refinement within a shared transformer. It explores parallel action decoding as an alternative to sequential autoregressive generation.</v>
      </c>
      <c r="E52" s="63" t="str">
        <v>https://arxiv.org/abs/2508.20072</v>
      </c>
      <c r="F52" s="61" t="str">
        <v>VLA/action policy</v>
      </c>
      <c r="G52" s="61" t="str">
        <v>Paper</v>
      </c>
      <c r="H52" s="62" t="str">
        <v>Pending</v>
      </c>
      <c r="I52" s="62" t="str"/>
      <c r="J52" s="61" t="str">
        <v>arXiv:2508.20072</v>
      </c>
      <c r="K52" s="61" t="str">
        <v>ddvla</v>
      </c>
      <c r="L52" s="61" t="str"/>
      <c r="M52" s="61" t="str">
        <v>Previously primary-source-checked README catalogue and manuscript discussion; no new quantitative claims.</v>
      </c>
    </row>
    <row r="53" ht="62" customHeight="1">
      <c r="A53" s="60" t="n">
        <v>45</v>
      </c>
      <c r="B53" s="60" t="n">
        <v>2024</v>
      </c>
      <c r="C53" s="61" t="str">
        <v>Octo Model Team, D. Ghosh, H. Walke, K. Pertsch, K. Black, O. Mees, S. Dasari, J. Hejna, T. Kreiman, C. Xu et al., “Octo: An open-source generalist robot policy,” in Proc. Robot.: Sci. Syst. (RSS), 2024, arXiv:2405.12213.</v>
      </c>
      <c r="D53" s="61" t="str">
        <v>Octo is an open generalist robot policy with a diffusion action head and language- or image-goal conditioning. Its adaptation interface accommodates new observation inputs and robot action spaces.</v>
      </c>
      <c r="E53" s="63" t="str">
        <v>https://arxiv.org/abs/2405.12213</v>
      </c>
      <c r="F53" s="61" t="str">
        <v>VLA/action policy</v>
      </c>
      <c r="G53" s="61" t="str">
        <v>Paper</v>
      </c>
      <c r="H53" s="62" t="str">
        <v>Pending</v>
      </c>
      <c r="I53" s="62" t="str"/>
      <c r="J53" s="61" t="str">
        <v>arXiv:2405.12213</v>
      </c>
      <c r="K53" s="61" t="str">
        <v>octo</v>
      </c>
      <c r="L53" s="61" t="str"/>
      <c r="M53" s="61" t="str">
        <v>Previously primary-source-checked README catalogue and manuscript discussion; no new quantitative claims.</v>
      </c>
    </row>
    <row r="54" ht="62" customHeight="1">
      <c r="A54" s="60" t="n">
        <v>46</v>
      </c>
      <c r="B54" s="60" t="n">
        <v>2025</v>
      </c>
      <c r="C54" s="61" t="str">
        <v>S. Liu, L. Wu, B. Li, H. Tan, H. Chen, Z. Wang, K. Xu, H. Su, and J. Zhu, “RDT-1B: A diffusion foundation model for bimanual manipulation,” arXiv preprint, 2025, arXiv:2410.07864.</v>
      </c>
      <c r="D54" s="61" t="str">
        <v>RDT-1B uses a diffusion transformer to generate bimanual robot actions conditioned on multimodal inputs. A unified action representation supports learning from robots with different configurations.</v>
      </c>
      <c r="E54" s="63" t="str">
        <v>https://arxiv.org/abs/2410.07864</v>
      </c>
      <c r="F54" s="61" t="str">
        <v>VLA/action policy</v>
      </c>
      <c r="G54" s="61" t="str">
        <v>Paper</v>
      </c>
      <c r="H54" s="62" t="str">
        <v>Pending</v>
      </c>
      <c r="I54" s="62" t="str"/>
      <c r="J54" s="61" t="str">
        <v>arXiv:2410.07864</v>
      </c>
      <c r="K54" s="61" t="str">
        <v>rdt1b</v>
      </c>
      <c r="L54" s="61" t="str"/>
      <c r="M54" s="61" t="str">
        <v>Previously primary-source-checked README catalogue and manuscript discussion; no new quantitative claims.</v>
      </c>
    </row>
    <row r="55" ht="62" customHeight="1">
      <c r="A55" s="60" t="n">
        <v>47</v>
      </c>
      <c r="B55" s="60" t="n">
        <v>2024</v>
      </c>
      <c r="C55" s="61" t="str">
        <v>Q. Li et al., “CogACT: A foundational vision-language-action model for synergizing cognition and action in robotic manipulation,” arXiv preprint, 2024, arXiv:2411.19650.</v>
      </c>
      <c r="D55" s="61" t="str">
        <v>CogACT couples a vision-language backbone to a specialized diffusion action transformer. This separation connects semantic interpretation with continuous manipulation commands.</v>
      </c>
      <c r="E55" s="63" t="str">
        <v>https://arxiv.org/abs/2411.19650</v>
      </c>
      <c r="F55" s="61" t="str">
        <v>VLA/action policy</v>
      </c>
      <c r="G55" s="61" t="str">
        <v>Paper</v>
      </c>
      <c r="H55" s="62" t="str">
        <v>Pending</v>
      </c>
      <c r="I55" s="62" t="str"/>
      <c r="J55" s="61" t="str">
        <v>arXiv:2411.19650</v>
      </c>
      <c r="K55" s="61" t="str">
        <v>cogact</v>
      </c>
      <c r="L55" s="61" t="str"/>
      <c r="M55" s="61" t="str">
        <v>Previously primary-source-checked README catalogue and manuscript discussion; no new quantitative claims.</v>
      </c>
    </row>
    <row r="56" ht="62" customHeight="1">
      <c r="A56" s="60" t="n">
        <v>48</v>
      </c>
      <c r="B56" s="60" t="n">
        <v>2025</v>
      </c>
      <c r="C56" s="61" t="str">
        <v>J. Wen, Y. Zhu, J. Li, Z. Tang, C. Shen, and F. Feng, “DexVLA: Visionlanguage model with plug-in diffusion expert for general robot control,” arXiv preprint, 2025, arXiv:2502.05855.</v>
      </c>
      <c r="D56" s="61" t="str">
        <v>DexVLA connects a vision-language backbone to a pretrained diffusion action expert. Its staged training adapts the action-generation component across tasks and robot embodiments.</v>
      </c>
      <c r="E56" s="63" t="str">
        <v>https://arxiv.org/abs/2502.05855</v>
      </c>
      <c r="F56" s="61" t="str">
        <v>VLA/action policy</v>
      </c>
      <c r="G56" s="61" t="str">
        <v>Paper</v>
      </c>
      <c r="H56" s="62" t="str">
        <v>Pending</v>
      </c>
      <c r="I56" s="62" t="str"/>
      <c r="J56" s="61" t="str">
        <v>arXiv:2502.05855</v>
      </c>
      <c r="K56" s="61" t="str">
        <v>dexvla</v>
      </c>
      <c r="L56" s="61" t="str"/>
      <c r="M56" s="61" t="str">
        <v>Previously primary-source-checked README catalogue and manuscript discussion; no new quantitative claims.</v>
      </c>
    </row>
    <row r="57" ht="62" customHeight="1">
      <c r="A57" s="60" t="n">
        <v>49</v>
      </c>
      <c r="B57" s="60" t="n">
        <v>2023</v>
      </c>
      <c r="C57" s="61" t="str">
        <v>T. Z. Zhao, V. Kumar, S. Levine, and C. Finn, “Learning fine-grained bimanual manipulation with low-cost hardware,” in Robotics: Science and Systems (RSS), 2023, arXiv:2304.13705.</v>
      </c>
      <c r="D57" s="61" t="str">
        <v>This paper introduces the ALOHA teleoperation platform and Action Chunking with Transformers for bimanual imitation learning. Predicting sequences of actions provides a control precedent for later chunk-based VLA policies.</v>
      </c>
      <c r="E57" s="63" t="str">
        <v>https://arxiv.org/abs/2304.13705</v>
      </c>
      <c r="F57" s="61" t="str">
        <v>Planning/control context</v>
      </c>
      <c r="G57" s="61" t="str">
        <v>Paper</v>
      </c>
      <c r="H57" s="62" t="str">
        <v>Pending</v>
      </c>
      <c r="I57" s="62" t="str"/>
      <c r="J57" s="61" t="str">
        <v>arXiv:2304.13705</v>
      </c>
      <c r="K57" s="61" t="str">
        <v>act</v>
      </c>
      <c r="L57" s="61" t="str"/>
      <c r="M57" s="61" t="str">
        <v>Previously primary-source-checked README catalogue and manuscript discussion; no new quantitative claims.</v>
      </c>
    </row>
    <row r="58" ht="62" customHeight="1">
      <c r="A58" s="60" t="n">
        <v>50</v>
      </c>
      <c r="B58" s="60" t="n">
        <v>2024</v>
      </c>
      <c r="C58" s="61" t="str">
        <v>Z. Fu, T. Z. Zhao, and C. Finn, “Mobile ALOHA: Learning bimanual mobile manipulation with low-cost whole-body teleoperation,” in Conference on Robot Learning (CoRL), 2024, arXiv:2401.02117.</v>
      </c>
      <c r="D58" s="61" t="str">
        <v>Mobile ALOHA combines whole-body teleoperation with imitation learning for mobile bimanual manipulation. It extends demonstration-based control to coordinated base and arm motions.</v>
      </c>
      <c r="E58" s="63" t="str">
        <v>https://arxiv.org/abs/2401.02117</v>
      </c>
      <c r="F58" s="61" t="str">
        <v>Planning/control context</v>
      </c>
      <c r="G58" s="61" t="str">
        <v>Paper</v>
      </c>
      <c r="H58" s="62" t="str">
        <v>Pending</v>
      </c>
      <c r="I58" s="62" t="str"/>
      <c r="J58" s="61" t="str">
        <v>arXiv:2401.02117</v>
      </c>
      <c r="K58" s="61" t="str">
        <v>mobilealoha</v>
      </c>
      <c r="L58" s="61" t="str"/>
      <c r="M58" s="61" t="str">
        <v>Previously primary-source-checked README catalogue and manuscript discussion; no new quantitative claims.</v>
      </c>
    </row>
    <row r="59" ht="62" customHeight="1">
      <c r="A59" s="60" t="n">
        <v>51</v>
      </c>
      <c r="B59" s="60" t="n">
        <v>2023</v>
      </c>
      <c r="C59" s="61" t="str">
        <v>C. Chi, Z. Xu, S. Feng, E. Cousineau, Y. Du, B. Burchfiel, R. Tedrake, and S. Song, “Diffusion policy: Visuomotor policy learning via action diffusion,” in Proc. Robot.: Sci. Syst. (RSS), 2023, arXiv:2303.04137.</v>
      </c>
      <c r="D59" s="61" t="str">
        <v>Diffusion Policy models visuomotor action sequences through conditional denoising diffusion. Receding-horizon execution makes it a control foundation for later diffusion-based robot policies.</v>
      </c>
      <c r="E59" s="63" t="str">
        <v>https://arxiv.org/abs/2303.04137</v>
      </c>
      <c r="F59" s="61" t="str">
        <v>Planning/control context</v>
      </c>
      <c r="G59" s="61" t="str">
        <v>Paper</v>
      </c>
      <c r="H59" s="62" t="str">
        <v>Pending</v>
      </c>
      <c r="I59" s="62" t="str"/>
      <c r="J59" s="61" t="str">
        <v>arXiv:2303.04137</v>
      </c>
      <c r="K59" s="61" t="str">
        <v>diffusionpolicy</v>
      </c>
      <c r="L59" s="61" t="str"/>
      <c r="M59" s="61" t="str">
        <v>Previously primary-source-checked README catalogue and manuscript discussion; no new quantitative claims.</v>
      </c>
    </row>
    <row r="60" ht="70" customHeight="1">
      <c r="A60" s="60" t="n">
        <v>52</v>
      </c>
      <c r="B60" s="60" t="n">
        <v>2025</v>
      </c>
      <c r="C60" s="61" t="str">
        <v>Physical Intelligence, K. Black, N. Brown, J. Darpinian, K. Dhabalia, D. Driess, A. Esmail, M. Equi, C. Finn, N. Fusai et al., “π0.5: A vision-language-action model with open-world generalization,” arXiv preprint, 2025, arXiv:2504.16054. [Online]. Available:</v>
      </c>
      <c r="D60" s="61" t="str">
        <v>The π0.5 model extends π0 through heterogeneous co-training and hierarchical task conditioning. It studies language-conditioned manipulation in settings beyond familiar training environments.</v>
      </c>
      <c r="E60" s="63" t="str">
        <v>https://arxiv.org/abs/2504.16054</v>
      </c>
      <c r="F60" s="61" t="str">
        <v>VLA/action policy</v>
      </c>
      <c r="G60" s="61" t="str">
        <v>Paper</v>
      </c>
      <c r="H60" s="62" t="str">
        <v>Pending</v>
      </c>
      <c r="I60" s="62" t="str"/>
      <c r="J60" s="61" t="str">
        <v>arXiv:2504.16054</v>
      </c>
      <c r="K60" s="61" t="str">
        <v>pi05</v>
      </c>
      <c r="L60" s="61" t="str"/>
      <c r="M60" s="61" t="str">
        <v>Previously primary-source-checked README catalogue and manuscript discussion; no new quantitative claims.</v>
      </c>
    </row>
    <row r="61" ht="70" customHeight="1">
      <c r="A61" s="60" t="n">
        <v>53</v>
      </c>
      <c r="B61" s="60" t="n">
        <v>2022</v>
      </c>
      <c r="C61" s="61" t="str">
        <v>M. Ahn, A. Brohan, N. Brown, Y. Chebotar, O. Cortes, B. David, C. Finn, C. Fu, K. Gopalakrishnan, K. Hausman et al., “Do as I can, not as I say: Grounding language in robotic affordances,” in Proc. Conf. Robot Learn. (CoRL), 2022, arXiv:2204.01691.</v>
      </c>
      <c r="D61" s="61" t="str">
        <v>SayCan combines language-model task suggestions with learned skill-value estimates. It uses these estimates to select behaviors that are both instruction-relevant and physically feasible.</v>
      </c>
      <c r="E61" s="63" t="str">
        <v>https://arxiv.org/abs/2204.01691</v>
      </c>
      <c r="F61" s="61" t="str">
        <v>Planning/control context</v>
      </c>
      <c r="G61" s="61" t="str">
        <v>Paper</v>
      </c>
      <c r="H61" s="62" t="str">
        <v>Pending</v>
      </c>
      <c r="I61" s="62" t="str"/>
      <c r="J61" s="61" t="str">
        <v>arXiv:2204.01691</v>
      </c>
      <c r="K61" s="61" t="str">
        <v>saycan</v>
      </c>
      <c r="L61" s="61" t="str"/>
      <c r="M61" s="61" t="str">
        <v>Previously primary-source-checked README catalogue and manuscript discussion; no new quantitative claims.</v>
      </c>
    </row>
    <row r="62" ht="62" customHeight="1">
      <c r="A62" s="60" t="n">
        <v>54</v>
      </c>
      <c r="B62" s="60" t="n">
        <v>2023</v>
      </c>
      <c r="C62" s="61" t="str">
        <v>D. Driess, F. Xia, M. S. M. Sajjadi, C. Lynch, A. Chowdhery, B. Ichter, A. Wahid, J. Tompson, Q. Vuong, T. Yu et al., “PaLM-E: An embodied multimodal language model,” in Proc. Int. Conf. Mach. Learn. (ICML), 2023, arXiv:2303.03378.</v>
      </c>
      <c r="D62" s="61" t="str">
        <v>PaLM-E incorporates visual observations and continuous sensor information into an embodied language model. It supports multimodal reasoning and high-level robot planning.</v>
      </c>
      <c r="E62" s="63" t="str">
        <v>https://arxiv.org/abs/2303.03378</v>
      </c>
      <c r="F62" s="61" t="str">
        <v>Planning/control context</v>
      </c>
      <c r="G62" s="61" t="str">
        <v>Paper</v>
      </c>
      <c r="H62" s="62" t="str">
        <v>Pending</v>
      </c>
      <c r="I62" s="62" t="str"/>
      <c r="J62" s="61" t="str">
        <v>arXiv:2303.03378</v>
      </c>
      <c r="K62" s="61" t="str">
        <v>palme</v>
      </c>
      <c r="L62" s="61" t="str"/>
      <c r="M62" s="61" t="str">
        <v>Previously primary-source-checked README catalogue and manuscript discussion; no new quantitative claims.</v>
      </c>
    </row>
    <row r="63" ht="62" customHeight="1">
      <c r="A63" s="60" t="n">
        <v>55</v>
      </c>
      <c r="B63" s="60" t="n">
        <v>2024</v>
      </c>
      <c r="C63" s="61" t="str">
        <v>S. Belkhale, T. Ding, T. Xiao, P. Sermanet, Q. Vuong, J. Tompson, Y. Chebotar, D. Dwibedi, and D. Sadigh, “RT-H: Action hierarchies using language,” in Proc. Robot.: Sci. Syst. (RSS), 2024, arXiv:2403.01823.</v>
      </c>
      <c r="D63" s="61" t="str">
        <v>RT-H inserts a language-based action hierarchy between task instructions and low-level robot commands. Intermediate motion descriptions organize execution and provide a structured interface for control.</v>
      </c>
      <c r="E63" s="63" t="str">
        <v>https://arxiv.org/abs/2403.01823</v>
      </c>
      <c r="F63" s="61" t="str">
        <v>VLA/action policy</v>
      </c>
      <c r="G63" s="61" t="str">
        <v>Paper</v>
      </c>
      <c r="H63" s="62" t="str">
        <v>Pending</v>
      </c>
      <c r="I63" s="62" t="str"/>
      <c r="J63" s="61" t="str">
        <v>arXiv:2403.01823</v>
      </c>
      <c r="K63" s="61" t="str">
        <v>rth</v>
      </c>
      <c r="L63" s="61" t="str"/>
      <c r="M63" s="61" t="str">
        <v>Previously primary-source-checked README catalogue and manuscript discussion; no new quantitative claims.</v>
      </c>
    </row>
    <row r="64" ht="70" customHeight="1">
      <c r="A64" s="60" t="n">
        <v>56</v>
      </c>
      <c r="B64" s="60" t="n">
        <v>2023</v>
      </c>
      <c r="C64" s="61" t="str">
        <v>J. Liang, W. Huang, F. Xia, P. Xu, K. Hausman, B. Ichter, P. Florence, and A. Zeng, “Code as policies: Language model programs for embodied control,” in IEEE International Conference on Robotics and Automation (ICRA), 2023, arXiv:2209.07753.</v>
      </c>
      <c r="D64" s="61" t="str">
        <v>Code as Policies generates robot-control programs from natural-language instructions. The generated programs connect perception outputs, control APIs, and feedback to executable behaviors.</v>
      </c>
      <c r="E64" s="63" t="str">
        <v>https://arxiv.org/abs/2209.07753</v>
      </c>
      <c r="F64" s="61" t="str">
        <v>Planning/control context</v>
      </c>
      <c r="G64" s="61" t="str">
        <v>Paper</v>
      </c>
      <c r="H64" s="62" t="str">
        <v>Pending</v>
      </c>
      <c r="I64" s="62" t="str"/>
      <c r="J64" s="61" t="str">
        <v>arXiv:2209.07753</v>
      </c>
      <c r="K64" s="61" t="str">
        <v>codeaspolicies</v>
      </c>
      <c r="L64" s="61" t="str"/>
      <c r="M64" s="61" t="str">
        <v>Previously primary-source-checked README catalogue and manuscript discussion; no new quantitative claims.</v>
      </c>
    </row>
    <row r="65" ht="62" customHeight="1">
      <c r="A65" s="60" t="n">
        <v>57</v>
      </c>
      <c r="B65" s="60" t="n">
        <v>2023</v>
      </c>
      <c r="C65" s="61" t="str">
        <v>W. Huang, C. Wang, R. Zhang, Y. Li, J. Wu, and L. Fei-Fei, “VoxPoser: Composable 3D value maps for robotic manipulation with language models,” in Conference on Robot Learning (CoRL), 2023, arXiv:2307.05973. [Online]. Available:</v>
      </c>
      <c r="D65" s="61" t="str">
        <v>VoxPoser converts language and visual information into composable three-dimensional value maps. These maps guide motion planning for manipulation instead of directly predicting motor commands from a single policy head.</v>
      </c>
      <c r="E65" s="63" t="str">
        <v>https://arxiv.org/abs/2307.05973</v>
      </c>
      <c r="F65" s="61" t="str">
        <v>Planning/control context</v>
      </c>
      <c r="G65" s="61" t="str">
        <v>Paper</v>
      </c>
      <c r="H65" s="62" t="str">
        <v>Pending</v>
      </c>
      <c r="I65" s="62" t="str"/>
      <c r="J65" s="61" t="str">
        <v>arXiv:2307.05973</v>
      </c>
      <c r="K65" s="61" t="str">
        <v>voxposer</v>
      </c>
      <c r="L65" s="61" t="str"/>
      <c r="M65" s="61" t="str">
        <v>Previously primary-source-checked README catalogue and manuscript discussion; no new quantitative claims.</v>
      </c>
    </row>
    <row r="66" ht="62" customHeight="1">
      <c r="A66" s="60" t="n">
        <v>58</v>
      </c>
      <c r="B66" s="60" t="n">
        <v>2025</v>
      </c>
      <c r="C66" s="61" t="str">
        <v>L. X. Shi et al., “Hi robot: Open-ended instruction following with hierarchical vision-language-action models,” arXiv preprint, 2025, arXiv:2502.19417.</v>
      </c>
      <c r="D66" s="61" t="str">
        <v>Hi Robot uses hierarchical vision-language-action policies to interpret complex instructions and user feedback. A lower-level controller executes the manipulation steps selected by the higher-level reasoning component.</v>
      </c>
      <c r="E66" s="63" t="str">
        <v>https://arxiv.org/abs/2502.19417</v>
      </c>
      <c r="F66" s="61" t="str">
        <v>VLA/action policy</v>
      </c>
      <c r="G66" s="61" t="str">
        <v>Paper</v>
      </c>
      <c r="H66" s="62" t="str">
        <v>Pending</v>
      </c>
      <c r="I66" s="62" t="str"/>
      <c r="J66" s="61" t="str">
        <v>arXiv:2502.19417</v>
      </c>
      <c r="K66" s="61" t="str">
        <v>hirobot</v>
      </c>
      <c r="L66" s="61" t="str"/>
      <c r="M66" s="61" t="str">
        <v>Previously primary-source-checked README catalogue and manuscript discussion; no new quantitative claims.</v>
      </c>
    </row>
    <row r="67" ht="62" customHeight="1">
      <c r="A67" s="60" t="n">
        <v>59</v>
      </c>
      <c r="B67" s="60" t="n">
        <v>2024</v>
      </c>
      <c r="C67" s="61" t="str">
        <v>M. Zawalski, W. Chen, K. Pertsch, O. Mees, C. Finn, and S. Levine, “Robotic control via embodied chain-of-thought reasoning,” in Proc. Conf. Robot Learn. (CoRL), 2024, arXiv:2407.08693.</v>
      </c>
      <c r="D67" s="61" t="str">
        <v>Embodied Chain-of-Thought trains a VLA to generate intermediate plans and visually grounded reasoning before robot actions. The method studies whether explicit reasoning supervision improves control and instruction execution.</v>
      </c>
      <c r="E67" s="63" t="str">
        <v>https://arxiv.org/abs/2407.08693</v>
      </c>
      <c r="F67" s="61" t="str">
        <v>VLA/action policy</v>
      </c>
      <c r="G67" s="61" t="str">
        <v>Paper</v>
      </c>
      <c r="H67" s="62" t="str">
        <v>Pending</v>
      </c>
      <c r="I67" s="62" t="str"/>
      <c r="J67" s="61" t="str">
        <v>arXiv:2407.08693</v>
      </c>
      <c r="K67" s="61" t="str">
        <v>ecot</v>
      </c>
      <c r="L67" s="61" t="str"/>
      <c r="M67" s="61" t="str">
        <v>Previously primary-source-checked README catalogue and manuscript discussion; no new quantitative claims.</v>
      </c>
    </row>
    <row r="68" ht="62" customHeight="1">
      <c r="A68" s="60" t="n">
        <v>60</v>
      </c>
      <c r="B68" s="60" t="n">
        <v>2025</v>
      </c>
      <c r="C68" s="61" t="str">
        <v>Lin et al., “OneTwoVLA: A unified vision-language-action model with adaptive reasoning,” arXiv preprint, 2025, arXiv:2505.11917. [Online]. Available:</v>
      </c>
      <c r="D68" s="61" t="str">
        <v>OneTwoVLA unifies explicit reasoning and robot-action generation within one model. It switches between reasoning and execution as task progress requires.</v>
      </c>
      <c r="E68" s="63" t="str">
        <v>https://arxiv.org/abs/2505.11917</v>
      </c>
      <c r="F68" s="61" t="str">
        <v>VLA/action policy</v>
      </c>
      <c r="G68" s="61" t="str">
        <v>Paper</v>
      </c>
      <c r="H68" s="62" t="str">
        <v>Pending</v>
      </c>
      <c r="I68" s="62" t="str"/>
      <c r="J68" s="61" t="str">
        <v>arXiv:2505.11917</v>
      </c>
      <c r="K68" s="61" t="str">
        <v>onetwovla</v>
      </c>
      <c r="L68" s="61" t="str"/>
      <c r="M68" s="61" t="str">
        <v>Previously primary-source-checked README catalogue and manuscript discussion; no new quantitative claims.</v>
      </c>
    </row>
    <row r="69" ht="62" customHeight="1">
      <c r="A69" s="60" t="n">
        <v>61</v>
      </c>
      <c r="B69" s="60" t="n">
        <v>2025</v>
      </c>
      <c r="C69" s="61" t="str">
        <v>Song et al., “RationalVLA: A rational vision-language-action model with dual system,” arXiv preprint, 2025, arXiv:2506.10826. [Online]. Available:</v>
      </c>
      <c r="D69" s="61" t="str">
        <v>RationalVLA couples higher-level instruction reasoning with manipulation control in a dual-system design. It includes assessment and rejection of commands judged infeasible or defective.</v>
      </c>
      <c r="E69" s="63" t="str">
        <v>https://arxiv.org/abs/2506.10826</v>
      </c>
      <c r="F69" s="61" t="str">
        <v>VLA/action policy</v>
      </c>
      <c r="G69" s="61" t="str">
        <v>Paper</v>
      </c>
      <c r="H69" s="62" t="str">
        <v>Pending</v>
      </c>
      <c r="I69" s="62" t="str"/>
      <c r="J69" s="61" t="str">
        <v>arXiv:2506.10826</v>
      </c>
      <c r="K69" s="61" t="str">
        <v>rationalvla</v>
      </c>
      <c r="L69" s="61" t="str"/>
      <c r="M69" s="61" t="str">
        <v>Previously primary-source-checked README catalogue and manuscript discussion; no new quantitative claims.</v>
      </c>
    </row>
    <row r="70" ht="70" customHeight="1">
      <c r="A70" s="60" t="n">
        <v>62</v>
      </c>
      <c r="B70" s="60" t="n">
        <v>2024</v>
      </c>
      <c r="C70" s="61" t="str">
        <v>W. Huang, C. Wang, Y. Li, R. Zhang, and L. Fei-Fei, “ReKep: Spatio-temporal reasoning of relational keypoint constraints for robotic manipulation,” in Conference on Robot Learning (CoRL), 2024, arXiv:2409.01652. [Online]. Available:</v>
      </c>
      <c r="D70" s="61" t="str">
        <v>ReKep uses visual-language reasoning to formulate relational constraints between task-relevant keypoints. It then optimizes robot motions to satisfy those constraints over time.</v>
      </c>
      <c r="E70" s="63" t="str">
        <v>https://arxiv.org/abs/2409.01652</v>
      </c>
      <c r="F70" s="61" t="str">
        <v>Planning/control context</v>
      </c>
      <c r="G70" s="61" t="str">
        <v>Paper</v>
      </c>
      <c r="H70" s="62" t="str">
        <v>Pending</v>
      </c>
      <c r="I70" s="62" t="str"/>
      <c r="J70" s="61" t="str">
        <v>arXiv:2409.01652</v>
      </c>
      <c r="K70" s="61" t="str">
        <v>rekep</v>
      </c>
      <c r="L70" s="61" t="str"/>
      <c r="M70" s="61" t="str">
        <v>Previously primary-source-checked README catalogue and manuscript discussion; no new quantitative claims.</v>
      </c>
    </row>
    <row r="71" ht="62" customHeight="1">
      <c r="A71" s="60" t="n">
        <v>63</v>
      </c>
      <c r="B71" s="60" t="n">
        <v>2024</v>
      </c>
      <c r="C71" s="61" t="str">
        <v>F. Liu, K. Fang, P. Abbeel, and S. Levine, “MOKA: Open-world robotic manipulation through mark-based visual prompting,” in Robotics: Science and Systems (RSS), 2024, arXiv:2403.03174.</v>
      </c>
      <c r="D71" s="61" t="str">
        <v>MOKA uses marked images and point-based affordances to interpret manipulation instructions. These geometric interfaces translate vision-language reasoning into executable control commands.</v>
      </c>
      <c r="E71" s="63" t="str">
        <v>https://arxiv.org/abs/2403.03174</v>
      </c>
      <c r="F71" s="61" t="str">
        <v>Planning/control context</v>
      </c>
      <c r="G71" s="61" t="str">
        <v>Paper</v>
      </c>
      <c r="H71" s="62" t="str">
        <v>Pending</v>
      </c>
      <c r="I71" s="62" t="str"/>
      <c r="J71" s="61" t="str">
        <v>arXiv:2403.03174</v>
      </c>
      <c r="K71" s="61" t="str">
        <v>moka</v>
      </c>
      <c r="L71" s="61" t="str"/>
      <c r="M71" s="61" t="str">
        <v>Previously primary-source-checked README catalogue and manuscript discussion; no new quantitative claims.</v>
      </c>
    </row>
    <row r="72" ht="62" customHeight="1">
      <c r="A72" s="60" t="n">
        <v>64</v>
      </c>
      <c r="B72" s="60" t="n">
        <v>2025</v>
      </c>
      <c r="C72" s="61" t="str">
        <v>Q. Zhao et al., “CoT-VLA: Visual chain-of-thought reasoning for vision-language-action models,” in Proc. IEEE/CVF Conf. Comput. Vis. Pattern Recognit. (CVPR), 2025, arXiv:2503.22020.</v>
      </c>
      <c r="D72" s="61" t="str">
        <v>CoT-VLA predicts future images as intermediate visual goals before generating action sequences. This visual chain of thought links prediction to policy execution without itself establishing candidate-action search.</v>
      </c>
      <c r="E72" s="63" t="str">
        <v>https://arxiv.org/abs/2503.22020</v>
      </c>
      <c r="F72" s="61" t="str">
        <v>World model/predictive system</v>
      </c>
      <c r="G72" s="61" t="str">
        <v>Paper</v>
      </c>
      <c r="H72" s="62" t="str">
        <v>Pending</v>
      </c>
      <c r="I72" s="62" t="str"/>
      <c r="J72" s="61" t="str">
        <v>arXiv:2503.22020</v>
      </c>
      <c r="K72" s="61" t="str">
        <v>cotvla</v>
      </c>
      <c r="L72" s="61" t="str"/>
      <c r="M72" s="61" t="str">
        <v>Previously primary-source-checked README catalogue and manuscript discussion; no new quantitative claims.</v>
      </c>
    </row>
    <row r="73" ht="145" customHeight="1">
      <c r="A73" s="60" t="n">
        <v>65</v>
      </c>
      <c r="B73" s="60" t="n">
        <v>2025</v>
      </c>
      <c r="C73" s="61" t="str">
        <v>M. U. Din, J. Rosell, W. Akram, I. Zaplana, M. A. Roa, L. Seneviratne, and I. Hussain, “Ontology-driven prompt tuning for LLM-based task and motion planning,” Robot. Auton. Syst, 2025.</v>
      </c>
      <c r="D73" s="61" t="str">
        <v>This framework enriches language-model prompts with ontology-based task knowledge and descriptions of the environment. It uses this knowledge to improve semantic consistency and temporal ordering in task-and-motion plans.</v>
      </c>
      <c r="E73" s="63" t="str">
        <v>https://arxiv.org/abs/2412.07493v1</v>
      </c>
      <c r="F73" s="61" t="str">
        <v>Planning/control context</v>
      </c>
      <c r="G73" s="61" t="str">
        <v>Paper</v>
      </c>
      <c r="H73" s="62" t="str">
        <v>Pending</v>
      </c>
      <c r="I73" s="62" t="str"/>
      <c r="J73" s="61" t="str">
        <v>arXiv:2412.07493</v>
      </c>
      <c r="K73" s="61" t="str">
        <v>ontollmtamp</v>
      </c>
      <c r="L73" s="61" t="str">
        <v>The linked arXiv v1 (10 December 2024) matches the supplied title and seven-author list. The as-cited 2025 Robotics and Autonomous Systems entry mixes version metadata: the journal article is ‘Onto-LLM-TAMP: Knowledge-oriented Task and Motion Planning using Large Language Models,’ vol. 200, article 105404 (2026), DOI 10.1016/j.robot.2026.105404, with six authors. The original reference and year are retained as cited; reconcile the intended version before submission.</v>
      </c>
      <c r="M73" s="61" t="str">
        <v>Primary-source abstract or article and manuscript context; source reviewed 2026-09-24.</v>
      </c>
    </row>
    <row r="74" ht="62" customHeight="1">
      <c r="A74" s="60" t="n">
        <v>66</v>
      </c>
      <c r="B74" s="60" t="n">
        <v>2022</v>
      </c>
      <c r="C74" s="61" t="str">
        <v>M. Shridhar, L. Manuelli, and D. Fox, “Perceiver-Actor: A multi-task transformer for robotic manipulation,” in Proc. Conf. Robot Learn. (CoRL), 2022, arXiv:2209.05451.</v>
      </c>
      <c r="D74" s="61" t="str">
        <v>PerAct encodes language goals and voxelized RGB-D observations with a Perceiver architecture. It learns discretized six-degree-of-freedom manipulation actions through behavior cloning.</v>
      </c>
      <c r="E74" s="63" t="str">
        <v>https://arxiv.org/abs/2209.05451</v>
      </c>
      <c r="F74" s="61" t="str">
        <v>VLA/action policy</v>
      </c>
      <c r="G74" s="61" t="str">
        <v>Paper</v>
      </c>
      <c r="H74" s="62" t="str">
        <v>Pending</v>
      </c>
      <c r="I74" s="62" t="str"/>
      <c r="J74" s="61" t="str">
        <v>arXiv:2209.05451</v>
      </c>
      <c r="K74" s="61" t="str">
        <v>peract</v>
      </c>
      <c r="L74" s="61" t="str"/>
      <c r="M74" s="61" t="str">
        <v>Previously primary-source-checked README catalogue and manuscript discussion; no new quantitative claims.</v>
      </c>
    </row>
    <row r="75" ht="62" customHeight="1">
      <c r="A75" s="60" t="n">
        <v>67</v>
      </c>
      <c r="B75" s="60" t="n">
        <v>2023</v>
      </c>
      <c r="C75" s="61" t="str">
        <v>A. Goyal, J. Xu, Y. Guo, V. Blukis, Y.-W. Chao, and D. Fox, “RVT: Robotic view transformer for 3D object manipulation,” in Proc. Conf. Robot Learn. (CoRL), 2023, arXiv:2306.14896.</v>
      </c>
      <c r="D75" s="61" t="str">
        <v>RVT combines rendered views of a three-dimensional scene with language-goal embeddings in a transformer. The resulting representation supports spatially grounded manipulation from limited demonstrations.</v>
      </c>
      <c r="E75" s="63" t="str">
        <v>https://arxiv.org/abs/2306.14896</v>
      </c>
      <c r="F75" s="61" t="str">
        <v>VLA/action policy</v>
      </c>
      <c r="G75" s="61" t="str">
        <v>Paper</v>
      </c>
      <c r="H75" s="62" t="str">
        <v>Pending</v>
      </c>
      <c r="I75" s="62" t="str"/>
      <c r="J75" s="61" t="str">
        <v>arXiv:2306.14896</v>
      </c>
      <c r="K75" s="61" t="str">
        <v>rvt</v>
      </c>
      <c r="L75" s="61" t="str"/>
      <c r="M75" s="61" t="str">
        <v>Previously primary-source-checked README catalogue and manuscript discussion; no new quantitative claims.</v>
      </c>
    </row>
    <row r="76" ht="62" customHeight="1">
      <c r="A76" s="60" t="n">
        <v>68</v>
      </c>
      <c r="B76" s="60" t="n">
        <v>2024</v>
      </c>
      <c r="C76" s="61" t="str">
        <v>A. Goyal, V. Blukis, J. Xu, Y. Guo, Y.-W. Chao, and D. Fox, “RVT-2: Learning precise manipulation from few demonstrations,” in Robotics: Science and Systems (RSS), 2024, arXiv:2406.08545.</v>
      </c>
      <c r="D76" s="61" t="str">
        <v>RVT-2 improves the architecture and execution of language-conditioned multi-view manipulation policies. It emphasizes precise control and efficient learning from few demonstrations.</v>
      </c>
      <c r="E76" s="63" t="str">
        <v>https://arxiv.org/abs/2406.08545</v>
      </c>
      <c r="F76" s="61" t="str">
        <v>VLA/action policy</v>
      </c>
      <c r="G76" s="61" t="str">
        <v>Paper</v>
      </c>
      <c r="H76" s="62" t="str">
        <v>Pending</v>
      </c>
      <c r="I76" s="62" t="str"/>
      <c r="J76" s="61" t="str">
        <v>arXiv:2406.08545</v>
      </c>
      <c r="K76" s="61" t="str">
        <v>rvt2</v>
      </c>
      <c r="L76" s="61" t="str"/>
      <c r="M76" s="61" t="str">
        <v>Previously primary-source-checked README catalogue and manuscript discussion; no new quantitative claims.</v>
      </c>
    </row>
    <row r="77" ht="62" customHeight="1">
      <c r="A77" s="60" t="n">
        <v>69</v>
      </c>
      <c r="B77" s="60" t="n">
        <v>2023</v>
      </c>
      <c r="C77" s="61" t="str">
        <v>T. Gervet, Z. Xian, N. Gkanatsios, and K. Fragkiadaki, “Act3D: 3D feature field transformers for multi-task robotic manipulation,” in Conference on Robot Learning (CoRL), 2023, arXiv:2306.17817.</v>
      </c>
      <c r="D77" s="61" t="str">
        <v>Act3D uses a hierarchical three-dimensional feature field with task-instruction conditioning to predict manipulation actions. Coarse-to-fine spatial sampling concentrates computation where precise action prediction is needed.</v>
      </c>
      <c r="E77" s="63" t="str">
        <v>https://arxiv.org/abs/2306.17817</v>
      </c>
      <c r="F77" s="61" t="str">
        <v>VLA/action policy</v>
      </c>
      <c r="G77" s="61" t="str">
        <v>Paper</v>
      </c>
      <c r="H77" s="62" t="str">
        <v>Pending</v>
      </c>
      <c r="I77" s="62" t="str"/>
      <c r="J77" s="61" t="str">
        <v>arXiv:2306.17817</v>
      </c>
      <c r="K77" s="61" t="str">
        <v>act3d</v>
      </c>
      <c r="L77" s="61" t="str"/>
      <c r="M77" s="61" t="str">
        <v>Previously primary-source-checked README catalogue and manuscript discussion; no new quantitative claims.</v>
      </c>
    </row>
    <row r="78" ht="62" customHeight="1">
      <c r="A78" s="60" t="n">
        <v>70</v>
      </c>
      <c r="B78" s="60" t="n">
        <v>2024</v>
      </c>
      <c r="C78" s="61" t="str">
        <v>H. Zhen, X. Qiu, P. Chen, J. Yang, X. Yan, Y. Du, Y. Hong, and C. Gan, “3D-VLA: A 3D vision-language-action generative world model,” in Proc. Int. Conf. Mach. Learn. (ICML), 2024, arXiv:2403.09631.</v>
      </c>
      <c r="D78" s="61" t="str">
        <v>3D-VLA combines three-dimensional vision-language representations with generation of future observations and robot actions. It connects spatial grounding with predictive policy learning for manipulation.</v>
      </c>
      <c r="E78" s="63" t="str">
        <v>https://arxiv.org/abs/2403.09631</v>
      </c>
      <c r="F78" s="61" t="str">
        <v>World model/predictive system</v>
      </c>
      <c r="G78" s="61" t="str">
        <v>Paper</v>
      </c>
      <c r="H78" s="62" t="str">
        <v>Pending</v>
      </c>
      <c r="I78" s="62" t="str"/>
      <c r="J78" s="61" t="str">
        <v>arXiv:2403.09631</v>
      </c>
      <c r="K78" s="61" t="str">
        <v>threedvla</v>
      </c>
      <c r="L78" s="61" t="str"/>
      <c r="M78" s="61" t="str">
        <v>Previously primary-source-checked README catalogue and manuscript discussion; no new quantitative claims.</v>
      </c>
    </row>
    <row r="79" ht="62" customHeight="1">
      <c r="A79" s="60" t="n">
        <v>71</v>
      </c>
      <c r="B79" s="60" t="n">
        <v>2025</v>
      </c>
      <c r="C79" s="61" t="str">
        <v>D. Qu, H. Song, Q. Chen, Y. Yao, X. Ye, Y. Ding, Z. Wang, J. Gu, B. Zhao, D. Wang et al., “SpatialVLA: Exploring spatial representations for visual-language-action models,” in Proc. Robot.: Sci. Syst. (RSS), 2025, arXiv:2501.15830.</v>
      </c>
      <c r="D79" s="61" t="str">
        <v>SpatialVLA uses geometric visual representations and spatially structured action tokens. These representations connect scene geometry with language-conditioned manipulation commands.</v>
      </c>
      <c r="E79" s="63" t="str">
        <v>https://arxiv.org/abs/2501.15830</v>
      </c>
      <c r="F79" s="61" t="str">
        <v>VLA/action policy</v>
      </c>
      <c r="G79" s="61" t="str">
        <v>Paper</v>
      </c>
      <c r="H79" s="62" t="str">
        <v>Pending</v>
      </c>
      <c r="I79" s="62" t="str"/>
      <c r="J79" s="61" t="str">
        <v>arXiv:2501.15830</v>
      </c>
      <c r="K79" s="61" t="str">
        <v>spatialvla</v>
      </c>
      <c r="L79" s="61" t="str"/>
      <c r="M79" s="61" t="str">
        <v>Previously primary-source-checked README catalogue and manuscript discussion; no new quantitative claims.</v>
      </c>
    </row>
    <row r="80" ht="62" customHeight="1">
      <c r="A80" s="60" t="n">
        <v>72</v>
      </c>
      <c r="B80" s="60" t="n">
        <v>2025</v>
      </c>
      <c r="C80" s="61" t="str">
        <v>Li et al., “PointVLA: Injecting the 3D world into vision-language-action models,” arXiv preprint, 2025, arXiv:2503.07511.</v>
      </c>
      <c r="D80" s="61" t="str">
        <v>PointVLA injects point-cloud information into pretrained VLA action modules through lightweight adaptation. It gives an existing policy access to three-dimensional geometry for manipulation.</v>
      </c>
      <c r="E80" s="63" t="str">
        <v>https://arxiv.org/abs/2503.07511</v>
      </c>
      <c r="F80" s="61" t="str">
        <v>VLA/action policy</v>
      </c>
      <c r="G80" s="61" t="str">
        <v>Paper</v>
      </c>
      <c r="H80" s="62" t="str">
        <v>Pending</v>
      </c>
      <c r="I80" s="62" t="str"/>
      <c r="J80" s="61" t="str">
        <v>arXiv:2503.07511</v>
      </c>
      <c r="K80" s="61" t="str">
        <v>pointvla</v>
      </c>
      <c r="L80" s="61" t="str"/>
      <c r="M80" s="61" t="str">
        <v>Previously primary-source-checked README catalogue and manuscript discussion; no new quantitative claims.</v>
      </c>
    </row>
    <row r="81" ht="62" customHeight="1">
      <c r="A81" s="60" t="n">
        <v>73</v>
      </c>
      <c r="B81" s="60" t="n">
        <v>2024</v>
      </c>
      <c r="C81" s="61" t="str">
        <v>Jia et al., “Lift3D foundation policy: Lifting 2D large-scale pretrained models for robust 3D robotic manipulation,” arXiv preprint, 2024, arXiv:2411.18623.</v>
      </c>
      <c r="D81" s="61" t="str">
        <v>Lift3D adapts pretrained two-dimensional visual features into implicit and explicit three-dimensional manipulation representations. Its reported policy uses point clouds and robot state without language conditioning.</v>
      </c>
      <c r="E81" s="63" t="str">
        <v>https://arxiv.org/abs/2411.18623</v>
      </c>
      <c r="F81" s="61" t="str">
        <v>Planning/control context</v>
      </c>
      <c r="G81" s="61" t="str">
        <v>Paper</v>
      </c>
      <c r="H81" s="62" t="str">
        <v>Pending</v>
      </c>
      <c r="I81" s="62" t="str"/>
      <c r="J81" s="61" t="str">
        <v>arXiv:2411.18623</v>
      </c>
      <c r="K81" s="61" t="str">
        <v>lift3d</v>
      </c>
      <c r="L81" s="61" t="str"/>
      <c r="M81" s="61" t="str">
        <v>Previously primary-source-checked README catalogue and manuscript discussion; no new quantitative claims.</v>
      </c>
    </row>
    <row r="82" ht="62" customHeight="1">
      <c r="A82" s="60" t="n">
        <v>74</v>
      </c>
      <c r="B82" s="60" t="n">
        <v>2025</v>
      </c>
      <c r="C82" s="61" t="str">
        <v>Yang et al., “FP3: A 3D foundation policy for robotic manipulation,” arXiv preprint, 2025, arXiv:2503.08950.</v>
      </c>
      <c r="D82" s="61" t="str">
        <v>FP3 pretrains a diffusion-transformer manipulation policy using point clouds, proprioception, and CLIP-encoded instructions. It adapts this language-conditioned three-dimensional policy to downstream tasks.</v>
      </c>
      <c r="E82" s="63" t="str">
        <v>https://arxiv.org/abs/2503.08950</v>
      </c>
      <c r="F82" s="61" t="str">
        <v>VLA/action policy</v>
      </c>
      <c r="G82" s="61" t="str">
        <v>Paper</v>
      </c>
      <c r="H82" s="62" t="str">
        <v>Pending</v>
      </c>
      <c r="I82" s="62" t="str"/>
      <c r="J82" s="61" t="str">
        <v>arXiv:2503.08950</v>
      </c>
      <c r="K82" s="61" t="str">
        <v>fp3</v>
      </c>
      <c r="L82" s="61" t="str"/>
      <c r="M82" s="61" t="str">
        <v>Previously primary-source-checked README catalogue and manuscript discussion; no new quantitative claims.</v>
      </c>
    </row>
    <row r="83" ht="62" customHeight="1">
      <c r="A83" s="60" t="n">
        <v>75</v>
      </c>
      <c r="B83" s="60" t="n">
        <v>2025</v>
      </c>
      <c r="C83" s="61" t="str">
        <v>Li et al., “BridgeVLA: Input-output alignment for efficient 3D manipulation learning,” arXiv preprint, 2025, arXiv:2506.07961. [Online]. Available:</v>
      </c>
      <c r="D83" s="61" t="str">
        <v>BridgeVLA projects three-dimensional observations into multiple image views and predicts spatial action heatmaps. This design aligns visual inputs with the spatial representation of control outputs.</v>
      </c>
      <c r="E83" s="63" t="str">
        <v>https://arxiv.org/abs/2506.07961</v>
      </c>
      <c r="F83" s="61" t="str">
        <v>VLA/action policy</v>
      </c>
      <c r="G83" s="61" t="str">
        <v>Paper</v>
      </c>
      <c r="H83" s="62" t="str">
        <v>Pending</v>
      </c>
      <c r="I83" s="62" t="str"/>
      <c r="J83" s="61" t="str">
        <v>arXiv:2506.07961</v>
      </c>
      <c r="K83" s="61" t="str">
        <v>bridgevla</v>
      </c>
      <c r="L83" s="61" t="str"/>
      <c r="M83" s="61" t="str">
        <v>Previously primary-source-checked README catalogue and manuscript discussion; no new quantitative claims.</v>
      </c>
    </row>
    <row r="84" ht="62" customHeight="1">
      <c r="A84" s="60" t="n">
        <v>76</v>
      </c>
      <c r="B84" s="60" t="n">
        <v>2025</v>
      </c>
      <c r="C84" s="61" t="str">
        <v>Deng et al., “GraspVLA: A grasping foundation model pre-trained on billion-scale synthetic action data,” arXiv preprint, 2025, arXiv:2505.03233.</v>
      </c>
      <c r="D84" s="61" t="str">
        <v>GraspVLA combines autoregressive perception with flow-matching action generation for grasping. Its training integrates synthetic robot data with semantic pretraining to support generalizable grasp behavior.</v>
      </c>
      <c r="E84" s="63" t="str">
        <v>https://arxiv.org/abs/2505.03233</v>
      </c>
      <c r="F84" s="61" t="str">
        <v>VLA/action policy</v>
      </c>
      <c r="G84" s="61" t="str">
        <v>Paper</v>
      </c>
      <c r="H84" s="62" t="str">
        <v>Pending</v>
      </c>
      <c r="I84" s="62" t="str"/>
      <c r="J84" s="61" t="str">
        <v>arXiv:2505.03233</v>
      </c>
      <c r="K84" s="61" t="str">
        <v>graspvla</v>
      </c>
      <c r="L84" s="61" t="str"/>
      <c r="M84" s="61" t="str">
        <v>Previously primary-source-checked README catalogue and manuscript discussion; no new quantitative claims.</v>
      </c>
    </row>
    <row r="85" ht="62" customHeight="1">
      <c r="A85" s="60" t="n">
        <v>77</v>
      </c>
      <c r="B85" s="60" t="n">
        <v>2025</v>
      </c>
      <c r="C85" s="61" t="str">
        <v>Sun et al., “GeoVLA: Empowering 3D representations in vision-language-action models,” arXiv preprint, 2025, arXiv:2508.09071.</v>
      </c>
      <c r="D85" s="61" t="str">
        <v>GeoVLA fuses image-language representations with point-cloud geometry in an action expert. This spatial interface supplies three-dimensional context for language-conditioned manipulation.</v>
      </c>
      <c r="E85" s="63" t="str">
        <v>https://arxiv.org/abs/2508.09071</v>
      </c>
      <c r="F85" s="61" t="str">
        <v>VLA/action policy</v>
      </c>
      <c r="G85" s="61" t="str">
        <v>Paper</v>
      </c>
      <c r="H85" s="62" t="str">
        <v>Pending</v>
      </c>
      <c r="I85" s="62" t="str"/>
      <c r="J85" s="61" t="str">
        <v>arXiv:2508.09071</v>
      </c>
      <c r="K85" s="61" t="str">
        <v>geovla</v>
      </c>
      <c r="L85" s="61" t="str"/>
      <c r="M85" s="61" t="str">
        <v>Previously primary-source-checked README catalogue and manuscript discussion; no new quantitative claims.</v>
      </c>
    </row>
    <row r="86" ht="62" customHeight="1">
      <c r="A86" s="60" t="n">
        <v>78</v>
      </c>
      <c r="B86" s="60" t="n">
        <v>2025</v>
      </c>
      <c r="C86" s="61" t="str">
        <v>Bhat et al., “3D CA VLA: Leveraging depth and 3D context to generalize vision-language-action models for unseen tasks,” arXiv preprint, 2025, arXiv:2505.05800.</v>
      </c>
      <c r="D86" s="61" t="str">
        <v>3D-CAVLA combines depth information, task-relevant visual regions, and intermediate reasoning for VLA adaptation. These cues support manipulation in tasks beyond those seen during training.</v>
      </c>
      <c r="E86" s="63" t="str">
        <v>https://arxiv.org/abs/2505.05800</v>
      </c>
      <c r="F86" s="61" t="str">
        <v>VLA/action policy</v>
      </c>
      <c r="G86" s="61" t="str">
        <v>Paper</v>
      </c>
      <c r="H86" s="62" t="str">
        <v>Pending</v>
      </c>
      <c r="I86" s="62" t="str"/>
      <c r="J86" s="61" t="str">
        <v>arXiv:2505.05800</v>
      </c>
      <c r="K86" s="61" t="str">
        <v>cavla</v>
      </c>
      <c r="L86" s="61" t="str"/>
      <c r="M86" s="61" t="str">
        <v>Previously primary-source-checked README catalogue and manuscript discussion; no new quantitative claims.</v>
      </c>
    </row>
    <row r="87" ht="62" customHeight="1">
      <c r="A87" s="60" t="n">
        <v>79</v>
      </c>
      <c r="B87" s="60" t="n">
        <v>2025</v>
      </c>
      <c r="C87" s="61" t="str">
        <v>Y. Guo et al., “Improving vision-language-action model with online reinforcement learning,” in Proc. IEEE Int. Conf. Robot. Autom. (ICRA), 2025, arXiv:2501.16664.</v>
      </c>
      <c r="D87" s="61" t="str">
        <v>iRe-VLA alternates reinforcement-learning improvement with supervised learning. This alternating procedure aims to stabilize interactive adaptation of pretrained VLA policies.</v>
      </c>
      <c r="E87" s="63" t="str">
        <v>https://arxiv.org/abs/2501.16664</v>
      </c>
      <c r="F87" s="61" t="str">
        <v>Policy training/adaptation method</v>
      </c>
      <c r="G87" s="61" t="str">
        <v>Paper</v>
      </c>
      <c r="H87" s="62" t="str">
        <v>Pending</v>
      </c>
      <c r="I87" s="62" t="str"/>
      <c r="J87" s="61" t="str">
        <v>arXiv:2501.16664</v>
      </c>
      <c r="K87" s="61" t="str">
        <v>irevla</v>
      </c>
      <c r="L87" s="61" t="str"/>
      <c r="M87" s="61" t="str">
        <v>Previously primary-source-checked README catalogue and manuscript discussion; no new quantitative claims.</v>
      </c>
    </row>
    <row r="88" ht="62" customHeight="1">
      <c r="A88" s="60" t="n">
        <v>80</v>
      </c>
      <c r="B88" s="60" t="n">
        <v>2024</v>
      </c>
      <c r="C88" s="61" t="str">
        <v>Z. Zhang et al., “GRAPE: Generalizing robot policy via preference alignment,” arXiv preprint, 2024, arXiv:2411.19309.</v>
      </c>
      <c r="D88" s="61" t="str">
        <v>GRAPE aligns robot policies using trajectory preferences derived from successful and unsuccessful behavior. Task-specific spatial and temporal constraints guide the preference-based training signal.</v>
      </c>
      <c r="E88" s="63" t="str">
        <v>https://arxiv.org/abs/2411.19309</v>
      </c>
      <c r="F88" s="61" t="str">
        <v>Policy training/adaptation method</v>
      </c>
      <c r="G88" s="61" t="str">
        <v>Paper</v>
      </c>
      <c r="H88" s="62" t="str">
        <v>Pending</v>
      </c>
      <c r="I88" s="62" t="str"/>
      <c r="J88" s="61" t="str">
        <v>arXiv:2411.19309</v>
      </c>
      <c r="K88" s="61" t="str">
        <v>grape</v>
      </c>
      <c r="L88" s="61" t="str"/>
      <c r="M88" s="61" t="str">
        <v>Previously primary-source-checked README catalogue and manuscript discussion; no new quantitative claims.</v>
      </c>
    </row>
    <row r="89" ht="62" customHeight="1">
      <c r="A89" s="60" t="n">
        <v>81</v>
      </c>
      <c r="B89" s="60" t="n">
        <v>2024</v>
      </c>
      <c r="C89" s="61" t="str">
        <v>Xu et al., “RLDG: Robotic generalist policy distillation via reinforcement learning,” arXiv preprint, 2024, arXiv:2412.09858. [Online]. Available:</v>
      </c>
      <c r="D89" s="61" t="str">
        <v>RLDG distills trajectories produced by task-specific reinforcement-learning policies into a generalist robot policy. It uses specialist behavior as an additional source of training data for generalist control.</v>
      </c>
      <c r="E89" s="63" t="str">
        <v>https://arxiv.org/abs/2412.09858</v>
      </c>
      <c r="F89" s="61" t="str">
        <v>Policy training/adaptation method</v>
      </c>
      <c r="G89" s="61" t="str">
        <v>Paper</v>
      </c>
      <c r="H89" s="62" t="str">
        <v>Pending</v>
      </c>
      <c r="I89" s="62" t="str"/>
      <c r="J89" s="61" t="str">
        <v>arXiv:2412.09858</v>
      </c>
      <c r="K89" s="61" t="str">
        <v>rldg</v>
      </c>
      <c r="L89" s="61" t="str"/>
      <c r="M89" s="61" t="str">
        <v>Previously primary-source-checked README catalogue and manuscript discussion; no new quantitative claims.</v>
      </c>
    </row>
    <row r="90" ht="62" customHeight="1">
      <c r="A90" s="60" t="n">
        <v>82</v>
      </c>
      <c r="B90" s="60" t="n">
        <v>2025</v>
      </c>
      <c r="C90" s="61" t="str">
        <v>Chen et al., “ConRFT: A reinforced fine-tuning method for VLA models via consistency policy,” arXiv preprint, 2025, arXiv:2502.05450. [Online]. Available:</v>
      </c>
      <c r="D90" s="61" t="str">
        <v>ConRFT fine-tunes VLA policies through offline and online reinforcement learning with a consistency-based objective. Human intervention during online learning supports adaptation to physical manipulation tasks.</v>
      </c>
      <c r="E90" s="63" t="str">
        <v>https://arxiv.org/abs/2502.05450</v>
      </c>
      <c r="F90" s="61" t="str">
        <v>Policy training/adaptation method</v>
      </c>
      <c r="G90" s="61" t="str">
        <v>Paper</v>
      </c>
      <c r="H90" s="62" t="str">
        <v>Pending</v>
      </c>
      <c r="I90" s="62" t="str"/>
      <c r="J90" s="61" t="str">
        <v>arXiv:2502.05450</v>
      </c>
      <c r="K90" s="61" t="str">
        <v>conrft</v>
      </c>
      <c r="L90" s="61" t="str"/>
      <c r="M90" s="61" t="str">
        <v>Previously primary-source-checked README catalogue and manuscript discussion; no new quantitative claims.</v>
      </c>
    </row>
    <row r="91" ht="62" customHeight="1">
      <c r="A91" s="60" t="n">
        <v>83</v>
      </c>
      <c r="B91" s="60" t="n">
        <v>2025</v>
      </c>
      <c r="C91" s="61" t="str">
        <v>Lu et al., “VLA-RL: Towards masterful and general robotic manipulation with scalable reinforcement learning,” arXiv preprint, 2025, arXiv:2505.18719.</v>
      </c>
      <c r="D91" s="61" t="str">
        <v>VLA-RL applies online reinforcement learning to autoregressive VLA policies. Its framework combines scalable training infrastructure with a learned progress-reward model.</v>
      </c>
      <c r="E91" s="63" t="str">
        <v>https://arxiv.org/abs/2505.18719</v>
      </c>
      <c r="F91" s="61" t="str">
        <v>Policy training/adaptation method</v>
      </c>
      <c r="G91" s="61" t="str">
        <v>Paper</v>
      </c>
      <c r="H91" s="62" t="str">
        <v>Pending</v>
      </c>
      <c r="I91" s="62" t="str"/>
      <c r="J91" s="61" t="str">
        <v>arXiv:2505.18719</v>
      </c>
      <c r="K91" s="61" t="str">
        <v>vlarl</v>
      </c>
      <c r="L91" s="61" t="str"/>
      <c r="M91" s="61" t="str">
        <v>Previously primary-source-checked README catalogue and manuscript discussion; no new quantitative claims.</v>
      </c>
    </row>
    <row r="92" ht="70" customHeight="1">
      <c r="A92" s="60" t="n">
        <v>84</v>
      </c>
      <c r="B92" s="60" t="n">
        <v>2025</v>
      </c>
      <c r="C92" s="61" t="str">
        <v>J. Hu, R. Hendrix, A. Farhadi, A. Kembhavi, R. Martín-Martín, P. Stone, K.-H. Zeng, and K. Ehsani, “FLaRe: Achieving masterful and adaptive robot policies with large-scale reinforcement learning fine-tuning,” in Proc. IEEE Int. Conf. Robot. Autom. (ICRA), 2025, arXiv:2409.16578. [Online]. Available:</v>
      </c>
      <c r="D92" s="61" t="str">
        <v>FLaRe uses large-scale reinforcement-learning fine-tuning to improve pretrained robot policies. It is distinct from FLARE, the separate method for aligning policy features with future latent representations.</v>
      </c>
      <c r="E92" s="63" t="str">
        <v>https://arxiv.org/abs/2409.16578</v>
      </c>
      <c r="F92" s="61" t="str">
        <v>Policy training/adaptation method</v>
      </c>
      <c r="G92" s="61" t="str">
        <v>Paper</v>
      </c>
      <c r="H92" s="62" t="str">
        <v>Pending</v>
      </c>
      <c r="I92" s="62" t="str"/>
      <c r="J92" s="61" t="str">
        <v>arXiv:2409.16578</v>
      </c>
      <c r="K92" s="61" t="str">
        <v>flarerl</v>
      </c>
      <c r="L92" s="61" t="str"/>
      <c r="M92" s="61" t="str">
        <v>Previously primary-source-checked README catalogue and manuscript discussion; no new quantitative claims.</v>
      </c>
    </row>
    <row r="93" ht="62" customHeight="1">
      <c r="A93" s="60" t="n">
        <v>85</v>
      </c>
      <c r="B93" s="60" t="n">
        <v>2025</v>
      </c>
      <c r="C93" s="61" t="str">
        <v>J. Wen, Y. Zhu, J. Li, M. Zhu, K. Wu, Z. Xu, N. Liu, R. Cheng, C. Shen, Y. Peng et al., “TinyVLA: Towards fast, data-efficient vision-languageaction models for robotic manipulation,” IEEE Robot. Autom. Lett, 2025, arXiv:2409.12514.</v>
      </c>
      <c r="D93" s="61" t="str">
        <v>TinyVLA combines a compact multimodal backbone with a diffusion action decoder. It targets manipulation learning with lower computation and fewer demonstrations.</v>
      </c>
      <c r="E93" s="63" t="str">
        <v>https://arxiv.org/abs/2409.12514</v>
      </c>
      <c r="F93" s="61" t="str">
        <v>VLA/action policy</v>
      </c>
      <c r="G93" s="61" t="str">
        <v>Paper</v>
      </c>
      <c r="H93" s="62" t="str">
        <v>Pending</v>
      </c>
      <c r="I93" s="62" t="str"/>
      <c r="J93" s="61" t="str">
        <v>arXiv:2409.12514</v>
      </c>
      <c r="K93" s="61" t="str">
        <v>tinyvla</v>
      </c>
      <c r="L93" s="61" t="str"/>
      <c r="M93" s="61" t="str">
        <v>Previously primary-source-checked README catalogue and manuscript discussion; no new quantitative claims.</v>
      </c>
    </row>
    <row r="94" ht="70" customHeight="1">
      <c r="A94" s="60" t="n">
        <v>86</v>
      </c>
      <c r="B94" s="60" t="n">
        <v>2025</v>
      </c>
      <c r="C94" s="61" t="str">
        <v>M. Shukor, D. Aubakirova, F. Capuano, P. Kooijmans, S. Palma, A. Zouitine, M. Aractingi, C. Pascal, M. Russi, A. Marafioti et al., “SmolVLA: A vision-language-action model for affordable and efficient robotics,” arXiv preprint, 2025, arXiv:2506.01844.</v>
      </c>
      <c r="D94" s="61" t="str">
        <v>SmolVLA uses a compact vision-language backbone and a flow-matching action expert. Its asynchronous inference design supports robot deployment with modest computational resources.</v>
      </c>
      <c r="E94" s="63" t="str">
        <v>https://arxiv.org/abs/2506.01844</v>
      </c>
      <c r="F94" s="61" t="str">
        <v>VLA/action policy</v>
      </c>
      <c r="G94" s="61" t="str">
        <v>Paper</v>
      </c>
      <c r="H94" s="62" t="str">
        <v>Pending</v>
      </c>
      <c r="I94" s="62" t="str"/>
      <c r="J94" s="61" t="str">
        <v>arXiv:2506.01844</v>
      </c>
      <c r="K94" s="61" t="str">
        <v>smolvla</v>
      </c>
      <c r="L94" s="61" t="str"/>
      <c r="M94" s="61" t="str">
        <v>Previously primary-source-checked README catalogue and manuscript discussion; no new quantitative claims.</v>
      </c>
    </row>
    <row r="95" ht="62" customHeight="1">
      <c r="A95" s="60" t="n">
        <v>87</v>
      </c>
      <c r="B95" s="60" t="n">
        <v>2025</v>
      </c>
      <c r="C95" s="61" t="str">
        <v>Budzianowski et al., “EdgeVLA: Efficient vision-language-action models for edge deployment,” arXiv preprint, 2025, arXiv:2507.14049. [Online]. Available:</v>
      </c>
      <c r="D95" s="61" t="str">
        <v>EdgeVLA combines a smaller language backbone with non-autoregressive action prediction. It targets reduced inference and memory costs on resource-constrained robot hardware.</v>
      </c>
      <c r="E95" s="63" t="str">
        <v>https://arxiv.org/abs/2507.14049</v>
      </c>
      <c r="F95" s="61" t="str">
        <v>VLA/action policy</v>
      </c>
      <c r="G95" s="61" t="str">
        <v>Paper</v>
      </c>
      <c r="H95" s="62" t="str">
        <v>Pending</v>
      </c>
      <c r="I95" s="62" t="str"/>
      <c r="J95" s="61" t="str">
        <v>arXiv:2507.14049</v>
      </c>
      <c r="K95" s="61" t="str">
        <v>edgevla</v>
      </c>
      <c r="L95" s="61" t="str"/>
      <c r="M95" s="61" t="str">
        <v>Previously primary-source-checked README catalogue and manuscript discussion; no new quantitative claims.</v>
      </c>
    </row>
    <row r="96" ht="70" customHeight="1">
      <c r="A96" s="60" t="n">
        <v>88</v>
      </c>
      <c r="B96" s="60" t="n">
        <v>2024</v>
      </c>
      <c r="C96" s="61" t="str">
        <v>J. Liu, M. Liu, Z. Wang, L. Lee, K. Zhou, P. An, S. Yang, R. Zhang, Y. Guo, and S. Zhang, “RoboMamba: Multimodal state space model for efficient robot reasoning and manipulation,” in Adv. Neural Inf. Process. Syst. (NeurIPS), 2024, arXiv:2406.04339.</v>
      </c>
      <c r="D96" s="61" t="str">
        <v>RoboMamba uses a Mamba state-space backbone for multimodal reasoning and robot-action prediction. It explores efficient language-conditioned manipulation through this alternative sequence-model architecture.</v>
      </c>
      <c r="E96" s="63" t="str">
        <v>https://arxiv.org/abs/2406.04339</v>
      </c>
      <c r="F96" s="61" t="str">
        <v>VLA/action policy</v>
      </c>
      <c r="G96" s="61" t="str">
        <v>Paper</v>
      </c>
      <c r="H96" s="62" t="str">
        <v>Pending</v>
      </c>
      <c r="I96" s="62" t="str"/>
      <c r="J96" s="61" t="str">
        <v>arXiv:2406.04339</v>
      </c>
      <c r="K96" s="61" t="str">
        <v>robomamba</v>
      </c>
      <c r="L96" s="61" t="str"/>
      <c r="M96" s="61" t="str">
        <v>Previously primary-source-checked README catalogue and manuscript discussion; no new quantitative claims.</v>
      </c>
    </row>
    <row r="97" ht="62" customHeight="1">
      <c r="A97" s="60" t="n">
        <v>89</v>
      </c>
      <c r="B97" s="60" t="n">
        <v>2025</v>
      </c>
      <c r="C97" s="61" t="str">
        <v>Wang et al., “BitVLA: 1-bit vision-language-action models for robotics manipulation,” arXiv preprint, 2025, arXiv:2506.07530.</v>
      </c>
      <c r="D97" s="61" t="str">
        <v>BitVLA combines low-bit model weights with visual-encoder compression to reduce the memory and inference demands of a VLA policy. It addresses resource-efficient manipulation deployment rather than explicit prediction of action consequences.</v>
      </c>
      <c r="E97" s="63" t="str">
        <v>https://arxiv.org/abs/2506.07530</v>
      </c>
      <c r="F97" s="61" t="str">
        <v>VLA/action policy</v>
      </c>
      <c r="G97" s="61" t="str">
        <v>Paper</v>
      </c>
      <c r="H97" s="62" t="str">
        <v>Pending</v>
      </c>
      <c r="I97" s="62" t="str"/>
      <c r="J97" s="61" t="str">
        <v>arXiv:2506.07530</v>
      </c>
      <c r="K97" s="61" t="str">
        <v>bitvla</v>
      </c>
      <c r="L97" s="61" t="str"/>
      <c r="M97" s="61" t="str">
        <v>Source-checked VLA/action-policy README catalogue (2026-09-23) and surgical manuscript context; no new quantitative claim.</v>
      </c>
    </row>
    <row r="98" ht="62" customHeight="1">
      <c r="A98" s="60" t="n">
        <v>90</v>
      </c>
      <c r="B98" s="60" t="n">
        <v>2025</v>
      </c>
      <c r="C98" s="61" t="str">
        <v>Xu et al., “VLA-Cache: Towards efficient vision-language-action model via adaptive token caching,” arXiv preprint, 2025, arXiv:2502.02175.</v>
      </c>
      <c r="D98" s="61" t="str">
        <v>VLA-Cache reuses visual tokens that change little between observations while recomputing task-relevant information. This reduces repeated inference work in an existing VLA control pipeline.</v>
      </c>
      <c r="E98" s="63" t="str">
        <v>https://arxiv.org/abs/2502.02175</v>
      </c>
      <c r="F98" s="61" t="str">
        <v>VLA inference method</v>
      </c>
      <c r="G98" s="61" t="str">
        <v>Paper</v>
      </c>
      <c r="H98" s="62" t="str">
        <v>Pending</v>
      </c>
      <c r="I98" s="62" t="str"/>
      <c r="J98" s="61" t="str">
        <v>arXiv:2502.02175</v>
      </c>
      <c r="K98" s="61" t="str">
        <v>vlacache</v>
      </c>
      <c r="L98" s="61" t="str"/>
      <c r="M98" s="61" t="str">
        <v>Source-checked VLA/action-policy README catalogue (2026-09-23) and surgical manuscript context; no new quantitative claim.</v>
      </c>
    </row>
    <row r="99" ht="62" customHeight="1">
      <c r="A99" s="60" t="n">
        <v>91</v>
      </c>
      <c r="B99" s="60" t="n">
        <v>2025</v>
      </c>
      <c r="C99" s="61" t="str">
        <v>Yang et al., “EfficientVLA: Training-free acceleration and compression for vision-language-action models,” arXiv preprint, 2025, arXiv:2506.10100.</v>
      </c>
      <c r="D99" s="61" t="str">
        <v>EfficientVLA accelerates existing policies through language-layer pruning, visual-token selection, and reuse of diffusion-head features. Its contribution is a training-free reduction of policy inference cost.</v>
      </c>
      <c r="E99" s="63" t="str">
        <v>https://arxiv.org/abs/2506.10100</v>
      </c>
      <c r="F99" s="61" t="str">
        <v>VLA inference method</v>
      </c>
      <c r="G99" s="61" t="str">
        <v>Paper</v>
      </c>
      <c r="H99" s="62" t="str">
        <v>Pending</v>
      </c>
      <c r="I99" s="62" t="str"/>
      <c r="J99" s="61" t="str">
        <v>arXiv:2506.10100</v>
      </c>
      <c r="K99" s="61" t="str">
        <v>efficientvla</v>
      </c>
      <c r="L99" s="61" t="str"/>
      <c r="M99" s="61" t="str">
        <v>Source-checked VLA/action-policy README catalogue (2026-09-23) and surgical manuscript context; no new quantitative claim.</v>
      </c>
    </row>
    <row r="100" ht="62" customHeight="1">
      <c r="A100" s="60" t="n">
        <v>92</v>
      </c>
      <c r="B100" s="60" t="n">
        <v>2025</v>
      </c>
      <c r="C100" s="61" t="str">
        <v>Song et al., “Accelerating vision-language-action model integrated with action chunking via parallel decoding,” arXiv preprint, 2025, arXiv:2503.02310.</v>
      </c>
      <c r="D100" s="61" t="str">
        <v>PD-VLA applies parallel fixed-point iterations to decode action chunks from an autoregressive VLA. It targets action-generation latency while retaining the policy formulation of robot control.</v>
      </c>
      <c r="E100" s="63" t="str">
        <v>https://arxiv.org/abs/2503.02310</v>
      </c>
      <c r="F100" s="61" t="str">
        <v>VLA inference method</v>
      </c>
      <c r="G100" s="61" t="str">
        <v>Paper</v>
      </c>
      <c r="H100" s="62" t="str">
        <v>Pending</v>
      </c>
      <c r="I100" s="62" t="str"/>
      <c r="J100" s="61" t="str">
        <v>arXiv:2503.02310</v>
      </c>
      <c r="K100" s="61" t="str">
        <v>pdvla</v>
      </c>
      <c r="L100" s="61" t="str"/>
      <c r="M100" s="61" t="str">
        <v>Source-checked VLA/action-policy README catalogue (2026-09-23) and surgical manuscript context; no new quantitative claim.</v>
      </c>
    </row>
    <row r="101" ht="62" customHeight="1">
      <c r="A101" s="60" t="n">
        <v>93</v>
      </c>
      <c r="B101" s="60" t="n">
        <v>2025</v>
      </c>
      <c r="C101" s="61" t="str">
        <v>–––, “CEED-VLA: Consistency vision-language-action model with early-exit decoding,” arXiv preprint, 2025, arXiv:2506.13725.</v>
      </c>
      <c r="D101" s="61" t="str">
        <v>CEED-VLA uses consistency distillation and early-exit decoding to accelerate action-token generation. It studies efficient execution of VLA policies under constrained inference budgets.</v>
      </c>
      <c r="E101" s="63" t="str">
        <v>https://arxiv.org/abs/2506.13725</v>
      </c>
      <c r="F101" s="61" t="str">
        <v>VLA inference method</v>
      </c>
      <c r="G101" s="61" t="str">
        <v>Paper</v>
      </c>
      <c r="H101" s="62" t="str">
        <v>Pending</v>
      </c>
      <c r="I101" s="62" t="str"/>
      <c r="J101" s="61" t="str">
        <v>arXiv:2506.13725</v>
      </c>
      <c r="K101" s="61" t="str">
        <v>ceedvla</v>
      </c>
      <c r="L101" s="61" t="str"/>
      <c r="M101" s="61" t="str">
        <v>Source-checked VLA/action-policy README catalogue (2026-09-23) and surgical manuscript context; no new quantitative claim.</v>
      </c>
    </row>
    <row r="102" ht="70" customHeight="1">
      <c r="A102" s="60" t="n">
        <v>94</v>
      </c>
      <c r="B102" s="60" t="n">
        <v>2024</v>
      </c>
      <c r="C102" s="61" t="str">
        <v>Y. Yue, Y. Wang, B. Kang, Y. Han, S. Wang, S. Song, J. Feng, and G. Huang, “DeeR-VLA: Dynamic inference of multimodal large language models for efficient robot execution,” in Advances in Neural Information Processing Systems (NeurIPS), 2024, arXiv:2411.02359.</v>
      </c>
      <c r="D102" s="61" t="str">
        <v>DeeR-VLA equips a multimodal policy backbone with multiple exits so that inference depth can vary with the current input. It links robot execution efficiency to adaptive computation rather than a fixed processing depth.</v>
      </c>
      <c r="E102" s="63" t="str">
        <v>https://arxiv.org/abs/2411.02359</v>
      </c>
      <c r="F102" s="61" t="str">
        <v>VLA inference method</v>
      </c>
      <c r="G102" s="61" t="str">
        <v>Paper</v>
      </c>
      <c r="H102" s="62" t="str">
        <v>Pending</v>
      </c>
      <c r="I102" s="62" t="str"/>
      <c r="J102" s="61" t="str">
        <v>arXiv:2411.02359</v>
      </c>
      <c r="K102" s="61" t="str">
        <v>deervla</v>
      </c>
      <c r="L102" s="61" t="str"/>
      <c r="M102" s="61" t="str">
        <v>Source-checked VLA/action-policy README catalogue (2026-09-23) and surgical manuscript context; no new quantitative claim.</v>
      </c>
    </row>
    <row r="103" ht="62" customHeight="1">
      <c r="A103" s="60" t="n">
        <v>95</v>
      </c>
      <c r="B103" s="60" t="n">
        <v>2025</v>
      </c>
      <c r="C103" s="61" t="str">
        <v>Google DeepMind, “Gemini Robotics On-Device: Bringing AI to local robotic devices,” Google DeepMind announcement, 2025.</v>
      </c>
      <c r="D103" s="61" t="str">
        <v>Gemini Robotics On-Device is a vendor-reported VLA designed to run locally on robot hardware. The release describes adaptation to manipulation tasks through fine-tuning and provides context for on-device deployment.</v>
      </c>
      <c r="E103" s="63" t="str">
        <v>https://deepmind.google/blog/gemini-robotics-on-device-brings-ai-to-local-robotic-devices/</v>
      </c>
      <c r="F103" s="61" t="str">
        <v>Vendor technical release</v>
      </c>
      <c r="G103" s="61" t="str">
        <v>Technical release / software</v>
      </c>
      <c r="H103" s="62" t="str">
        <v>Pending</v>
      </c>
      <c r="I103" s="62" t="str"/>
      <c r="J103" s="61" t="str">
        <v>https://deepmind.google/blog/gemini-robotics-on-device-brings-ai-to-local-robotic-devices/</v>
      </c>
      <c r="K103" s="61" t="str">
        <v>geminiondevice</v>
      </c>
      <c r="L103" s="61" t="str"/>
      <c r="M103" s="61" t="str">
        <v>Source-checked VLA/action-policy README catalogue (2026-09-23) and surgical manuscript context; no new quantitative claim.</v>
      </c>
    </row>
    <row r="104" ht="70" customHeight="1">
      <c r="A104" s="60" t="n">
        <v>96</v>
      </c>
      <c r="B104" s="60" t="n">
        <v>2025</v>
      </c>
      <c r="C104" s="61" t="str">
        <v>J. Chen, H. Liang, L. Du, W. Wang, M. Hu, Y. Mu, W. Wang, J. Dai, P. Luo, W. Shao, and L. Shao, “OWMM-Agent: Open world mobile manipulation with multi-modal agentic data synthesis,” in Advances in Neural Information Processing Systems (NeurIPS), 2025, arXiv:2506.04217.</v>
      </c>
      <c r="D104" s="61" t="str">
        <v>OWMM-Agent uses multimodal scene and robot-state context to coordinate mobile manipulation through function calls. Its associated instruction tuning supports an agentic integration of perception, navigation, and manipulation components.</v>
      </c>
      <c r="E104" s="63" t="str">
        <v>https://arxiv.org/abs/2506.04217</v>
      </c>
      <c r="F104" s="61" t="str">
        <v>Planning/control context</v>
      </c>
      <c r="G104" s="61" t="str">
        <v>Paper</v>
      </c>
      <c r="H104" s="62" t="str">
        <v>Pending</v>
      </c>
      <c r="I104" s="62" t="str"/>
      <c r="J104" s="61" t="str">
        <v>arXiv:2506.04217</v>
      </c>
      <c r="K104" s="61" t="str">
        <v>owmmagent</v>
      </c>
      <c r="L104" s="61" t="str"/>
      <c r="M104" s="61" t="str">
        <v>Source-checked VLA/action-policy README catalogue (2026-09-23) and surgical manuscript context; no new quantitative claim.</v>
      </c>
    </row>
    <row r="105" ht="62" customHeight="1">
      <c r="A105" s="60" t="n">
        <v>97</v>
      </c>
      <c r="B105" s="60" t="n">
        <v>2024</v>
      </c>
      <c r="C105" s="61" t="str">
        <v>P. Liu, Y. Orru, J. Vakil, C. Paxton, N. M. M. Shafiullah, and L. Pinto, “OK-Robot: What really matters in integrating open-knowledge models for robotics,” arXiv preprint, 2024, arXiv:2401.12202.</v>
      </c>
      <c r="D105" s="61" t="str">
        <v>OK-Robot integrates open perception, navigation, and grasping components for language-directed mobile manipulation. It studies how these components work together in unfamiliar environments.</v>
      </c>
      <c r="E105" s="63" t="str">
        <v>https://arxiv.org/abs/2401.12202</v>
      </c>
      <c r="F105" s="61" t="str">
        <v>Planning/control context</v>
      </c>
      <c r="G105" s="61" t="str">
        <v>Paper</v>
      </c>
      <c r="H105" s="62" t="str">
        <v>Pending</v>
      </c>
      <c r="I105" s="62" t="str"/>
      <c r="J105" s="61" t="str">
        <v>arXiv:2401.12202</v>
      </c>
      <c r="K105" s="61" t="str">
        <v>okrobot</v>
      </c>
      <c r="L105" s="61" t="str"/>
      <c r="M105" s="61" t="str">
        <v>Source-checked VLA/action-policy README catalogue (2026-09-23) and surgical manuscript context; no new quantitative claim.</v>
      </c>
    </row>
    <row r="106" ht="62" customHeight="1">
      <c r="A106" s="60" t="n">
        <v>98</v>
      </c>
      <c r="B106" s="60" t="n">
        <v>2025</v>
      </c>
      <c r="C106" s="61" t="str">
        <v>Fan et al., “Long-VLA: Unleashing long-horizon capability of vision-language-action models,” arXiv preprint, 2025, arXiv:2508.19958.</v>
      </c>
      <c r="D106" s="61" t="str">
        <v>Long-VLA uses phase-aware masking of sensory inputs to support coordination across successive subtasks. It addresses error accumulation and execution over extended manipulation horizons.</v>
      </c>
      <c r="E106" s="63" t="str">
        <v>https://arxiv.org/abs/2508.19958</v>
      </c>
      <c r="F106" s="61" t="str">
        <v>VLA/action policy</v>
      </c>
      <c r="G106" s="61" t="str">
        <v>Paper</v>
      </c>
      <c r="H106" s="62" t="str">
        <v>Pending</v>
      </c>
      <c r="I106" s="62" t="str"/>
      <c r="J106" s="61" t="str">
        <v>arXiv:2508.19958</v>
      </c>
      <c r="K106" s="61" t="str">
        <v>longvla</v>
      </c>
      <c r="L106" s="61" t="str"/>
      <c r="M106" s="61" t="str">
        <v>Source-checked VLA/action-policy README catalogue (2026-09-23) and surgical manuscript context; no new quantitative claim.</v>
      </c>
    </row>
    <row r="107" ht="62" customHeight="1">
      <c r="A107" s="60" t="n">
        <v>99</v>
      </c>
      <c r="B107" s="60" t="n">
        <v>2025</v>
      </c>
      <c r="C107" s="61" t="str">
        <v>Yang et al., “LoHoVLA: A unified vision-language-action model for long-horizon embodied tasks,” arXiv preprint, 2025, arXiv:2506.00411.</v>
      </c>
      <c r="D107" s="61" t="str">
        <v>LoHoVLA jointly generates subtask language and robot-action tokens. Hierarchical feedback connects these outputs during multi-step embodied task execution.</v>
      </c>
      <c r="E107" s="63" t="str">
        <v>https://arxiv.org/abs/2506.00411</v>
      </c>
      <c r="F107" s="61" t="str">
        <v>VLA/action policy</v>
      </c>
      <c r="G107" s="61" t="str">
        <v>Paper</v>
      </c>
      <c r="H107" s="62" t="str">
        <v>Pending</v>
      </c>
      <c r="I107" s="62" t="str"/>
      <c r="J107" s="61" t="str">
        <v>arXiv:2506.00411</v>
      </c>
      <c r="K107" s="61" t="str">
        <v>lohovla</v>
      </c>
      <c r="L107" s="61" t="str"/>
      <c r="M107" s="61" t="str">
        <v>Source-checked VLA/action-policy README catalogue (2026-09-23) and surgical manuscript context; no new quantitative claim.</v>
      </c>
    </row>
    <row r="108" ht="62" customHeight="1">
      <c r="A108" s="60" t="n">
        <v>100</v>
      </c>
      <c r="B108" s="60" t="n">
        <v>2025</v>
      </c>
      <c r="C108" s="61" t="str">
        <v>NVIDIA GEAR Lab, “GR00T N1.5: An improved open foundation model for generalist humanoid robots,” NVIDIA Research, , 2025.</v>
      </c>
      <c r="D108" s="61" t="str">
        <v>GR00T N1.5 extends the GR00T humanoid policy family with changes to its architecture and training data. The official release describes future-latent representation alignment as a component of policy learning.</v>
      </c>
      <c r="E108" s="63" t="str">
        <v>https://research.nvidia.com/labs/gear/gr00t-n1_5/</v>
      </c>
      <c r="F108" s="61" t="str">
        <v>Vendor technical release</v>
      </c>
      <c r="G108" s="61" t="str">
        <v>Technical release / software</v>
      </c>
      <c r="H108" s="62" t="str">
        <v>Pending</v>
      </c>
      <c r="I108" s="62" t="str"/>
      <c r="J108" s="61" t="str">
        <v>https://research.nvidia.com/labs/gear/gr00t-n1_5/</v>
      </c>
      <c r="K108" s="61" t="str">
        <v>grootn15</v>
      </c>
      <c r="L108" s="61" t="str"/>
      <c r="M108" s="61" t="str">
        <v>Source-checked VLA/action-policy README catalogue (2026-09-23) and surgical manuscript context; no new quantitative claim.</v>
      </c>
    </row>
    <row r="109" ht="62" customHeight="1">
      <c r="A109" s="60" t="n">
        <v>101</v>
      </c>
      <c r="B109" s="60" t="n">
        <v>2024</v>
      </c>
      <c r="C109" s="61" t="str">
        <v>C.-L. Cheang, G. Chen, Y. Jing, T. Kong, H. Li, Y. Li, Y. Liu, H. Wu, J. Xu, Y. Yang et al., “GR-2: A generative video-language-action model with web-scale knowledge for robot manipulation,” arXiv preprint, 2024, arXiv:2410.06158.</v>
      </c>
      <c r="D109" s="61" t="str">
        <v>GR-2 combines large-scale video pretraining with joint video and action learning for robotic manipulation. Its predictive-policy formulation connects visual knowledge from web video to robot trajectories.</v>
      </c>
      <c r="E109" s="63" t="str">
        <v>https://arxiv.org/abs/2410.06158</v>
      </c>
      <c r="F109" s="61" t="str">
        <v>VLA/action policy</v>
      </c>
      <c r="G109" s="61" t="str">
        <v>Paper</v>
      </c>
      <c r="H109" s="62" t="str">
        <v>Pending</v>
      </c>
      <c r="I109" s="62" t="str"/>
      <c r="J109" s="61" t="str">
        <v>arXiv:2410.06158</v>
      </c>
      <c r="K109" s="61" t="str">
        <v>gr2</v>
      </c>
      <c r="L109" s="61" t="str">
        <v>Vendor-authored technical research paper, not reclassified as nonpaper simply because evidence is vendor-reported.</v>
      </c>
      <c r="M109" s="61" t="str">
        <v>Source-checked VLA/action-policy README catalogue (2026-09-23) and surgical manuscript context; no new quantitative claim.</v>
      </c>
    </row>
    <row r="110" ht="62" customHeight="1">
      <c r="A110" s="60" t="n">
        <v>102</v>
      </c>
      <c r="B110" s="60" t="n">
        <v>2025</v>
      </c>
      <c r="C110" s="61" t="str">
        <v>Gemini Robotics Team, “Gemini Robotics 1.5: Pushing the frontier of generalist robots with advanced embodied reasoning, thinking, and motion transfer,” arXiv preprint, 2025, arXiv:2510.03342.</v>
      </c>
      <c r="D110" s="61" t="str">
        <v>Gemini Robotics 1.5 integrates embodied reasoning with action generation in a multi-embodiment policy. The developer report also describes transferring motion knowledge across robot configurations.</v>
      </c>
      <c r="E110" s="63" t="str">
        <v>https://arxiv.org/abs/2510.03342</v>
      </c>
      <c r="F110" s="61" t="str">
        <v>VLA/action policy</v>
      </c>
      <c r="G110" s="61" t="str">
        <v>Paper</v>
      </c>
      <c r="H110" s="62" t="str">
        <v>Pending</v>
      </c>
      <c r="I110" s="62" t="str"/>
      <c r="J110" s="61" t="str">
        <v>arXiv:2510.03342</v>
      </c>
      <c r="K110" s="61" t="str">
        <v>gemini15</v>
      </c>
      <c r="L110" s="61" t="str">
        <v>Vendor-authored technical research paper, not reclassified as nonpaper simply because evidence is vendor-reported.</v>
      </c>
      <c r="M110" s="61" t="str">
        <v>Source-checked VLA/action-policy README catalogue (2026-09-23) and surgical manuscript context; no new quantitative claim.</v>
      </c>
    </row>
    <row r="111" ht="62" customHeight="1">
      <c r="A111" s="60" t="n">
        <v>103</v>
      </c>
      <c r="B111" s="60" t="n">
        <v>2024</v>
      </c>
      <c r="C111" s="61" t="str">
        <v>Chiang et al., “Mobility VLA: Multimodal instruction navigation with long-context VLMs and topological graphs,” arXiv preprint, 2024, arXiv:2407.07775.</v>
      </c>
      <c r="D111" s="61" t="str">
        <v>Mobility VLA combines long-context vision-language understanding with topological navigation. Its reported setting concerns multimodal instruction following for navigation, providing context for broader mobile-robot systems.</v>
      </c>
      <c r="E111" s="63" t="str">
        <v>https://arxiv.org/abs/2407.07775</v>
      </c>
      <c r="F111" s="61" t="str">
        <v>Planning/control context</v>
      </c>
      <c r="G111" s="61" t="str">
        <v>Paper</v>
      </c>
      <c r="H111" s="62" t="str">
        <v>Pending</v>
      </c>
      <c r="I111" s="62" t="str"/>
      <c r="J111" s="61" t="str">
        <v>arXiv:2407.07775</v>
      </c>
      <c r="K111" s="61" t="str">
        <v>mobilityvla</v>
      </c>
      <c r="L111" s="61" t="str"/>
      <c r="M111" s="61" t="str">
        <v>Source-checked VLA/action-policy README catalogue (2026-09-23) and surgical manuscript context; no new quantitative claim.</v>
      </c>
    </row>
    <row r="112" ht="62" customHeight="1">
      <c r="A112" s="60" t="n">
        <v>104</v>
      </c>
      <c r="B112" s="60" t="n">
        <v>2011</v>
      </c>
      <c r="C112" s="61" t="str">
        <v>S. Ross, G. J. Gordon, and J. A. Bagnell, “A reduction of imitation learning and structured prediction to no-regret online learning,” in Proc. Int. Conf. Artif. Intell. Statist. (AISTATS), 2011.</v>
      </c>
      <c r="D112" s="61" t="str">
        <v>DAgger addresses imitation-learning distribution shift by iteratively collecting expert labels on states encountered by the learner. The paper connects this data-aggregation procedure to no-regret online learning and sequential prediction.</v>
      </c>
      <c r="E112" s="63" t="str">
        <v>https://proceedings.mlr.press/v15/ross11a/ross11a.pdf</v>
      </c>
      <c r="F112" s="61" t="str">
        <v>Methodology</v>
      </c>
      <c r="G112" s="61" t="str">
        <v>Paper</v>
      </c>
      <c r="H112" s="62" t="str">
        <v>Pending</v>
      </c>
      <c r="I112" s="62" t="str"/>
      <c r="J112" s="61" t="str">
        <v>https://proceedings.mlr.press/v15/ross11a/ross11a.pdf</v>
      </c>
      <c r="K112" s="61" t="str">
        <v>dagger</v>
      </c>
      <c r="L112" s="61" t="str"/>
      <c r="M112" s="61" t="str">
        <v>Primary-source abstract or official release checked online on 2026-09-24; manuscript context used to identify the cited role.</v>
      </c>
    </row>
    <row r="113" ht="70" customHeight="1">
      <c r="A113" s="60" t="n">
        <v>105</v>
      </c>
      <c r="B113" s="60" t="n">
        <v>2024</v>
      </c>
      <c r="C113" s="61" t="str">
        <v>A. Khazatsky, K. Pertsch, S. Nair, A. Balakrishna, S. Dasari, S. Karamcheti, S. Nasiriany, M. K. Srirama, L. Y. Chen, K. Ellis et al., “DROID: A large-scale in-the-wild robot manipulation dataset,” arXiv preprint, 2024, arXiv:2403.12945.</v>
      </c>
      <c r="D113" s="61" t="str">
        <v>DROID provides diverse real-world robot manipulation demonstrations collected across environments. It supports research on policy learning and generalization from robot observations and actions.</v>
      </c>
      <c r="E113" s="63" t="str">
        <v>https://arxiv.org/abs/2403.12945</v>
      </c>
      <c r="F113" s="61" t="str">
        <v>Dataset/benchmark</v>
      </c>
      <c r="G113" s="61" t="str">
        <v>Paper</v>
      </c>
      <c r="H113" s="62" t="str">
        <v>Pending</v>
      </c>
      <c r="I113" s="62" t="str"/>
      <c r="J113" s="61" t="str">
        <v>arXiv:2403.12945</v>
      </c>
      <c r="K113" s="61" t="str">
        <v>droid</v>
      </c>
      <c r="L113" s="61" t="str"/>
      <c r="M113" s="61" t="str">
        <v>Supported by the surgical manuscript discussion and earlier primary-source review notes; qualitative scope retained without new performance claims.</v>
      </c>
    </row>
    <row r="114" ht="62" customHeight="1">
      <c r="A114" s="60" t="n">
        <v>106</v>
      </c>
      <c r="B114" s="60" t="n">
        <v>2025</v>
      </c>
      <c r="C114" s="61" t="str">
        <v>NVIDIA, “Cosmos world foundation model platform for physical AI,” arXiv preprint, 2025, arXiv:2501.03575.</v>
      </c>
      <c r="D114" s="61" t="str">
        <v>Cosmos provides video tokenization and generative world foundation models for physical-AI development. Action conditioning and robot-control use depend on the particular model and its adaptation.</v>
      </c>
      <c r="E114" s="63" t="str">
        <v>https://arxiv.org/abs/2501.03575</v>
      </c>
      <c r="F114" s="61" t="str">
        <v>World model/predictive system</v>
      </c>
      <c r="G114" s="61" t="str">
        <v>Paper</v>
      </c>
      <c r="H114" s="62" t="str">
        <v>Pending</v>
      </c>
      <c r="I114" s="62" t="str"/>
      <c r="J114" s="61" t="str">
        <v>arXiv:2501.03575</v>
      </c>
      <c r="K114" s="61" t="str">
        <v>cosmos</v>
      </c>
      <c r="L114" s="61" t="str"/>
      <c r="M114" s="61" t="str">
        <v>Source-checked world-model README catalogue (2026-09-23) and surgical manuscript context; no new quantitative claim.</v>
      </c>
    </row>
    <row r="115" ht="62" customHeight="1">
      <c r="A115" s="60" t="n">
        <v>107</v>
      </c>
      <c r="B115" s="60" t="n">
        <v>2025</v>
      </c>
      <c r="C115" s="61" t="str">
        <v>S. Motamed, L. Culp, K. Swersky, P. Jaini, and R. Geirhos, “Do generative video models understand physical laws?” in Proc. IEEE/CVF Int. Conf. Comput. Vis. (ICCV), 2025, arXiv:2501.09038.</v>
      </c>
      <c r="D115" s="61" t="str">
        <v>Physics-IQ evaluates physical prediction using paired real videos rather than visual plausibility alone. It supplies evidence about physical consistency in generative video models without directly measuring robot-control success.</v>
      </c>
      <c r="E115" s="63" t="str">
        <v>https://arxiv.org/abs/2501.09038</v>
      </c>
      <c r="F115" s="61" t="str">
        <v>Dataset/benchmark</v>
      </c>
      <c r="G115" s="61" t="str">
        <v>Paper</v>
      </c>
      <c r="H115" s="62" t="str">
        <v>Pending</v>
      </c>
      <c r="I115" s="62" t="str"/>
      <c r="J115" s="61" t="str">
        <v>arXiv:2501.09038</v>
      </c>
      <c r="K115" s="61" t="str">
        <v>physicsiq</v>
      </c>
      <c r="L115" s="61" t="str"/>
      <c r="M115" s="61" t="str">
        <v>Supported by the surgical manuscript discussion and earlier primary-source review notes; qualitative scope retained without new performance claims.</v>
      </c>
    </row>
    <row r="116" ht="62" customHeight="1">
      <c r="A116" s="60" t="n">
        <v>108</v>
      </c>
      <c r="B116" s="60" t="n">
        <v>2025</v>
      </c>
      <c r="C116" s="61" t="str">
        <v>Li et al., “WorldModelBench: Judging video generation models as world models,” arXiv preprint, 2025, arXiv:2502.20694.</v>
      </c>
      <c r="D116" s="61" t="str">
        <v>WorldModelBench evaluates instruction-conditioned video generation against physical principles. It assesses properties of generated worlds rather than serving as a direct manipulation-policy success benchmark.</v>
      </c>
      <c r="E116" s="63" t="str">
        <v>https://arxiv.org/abs/2502.20694</v>
      </c>
      <c r="F116" s="61" t="str">
        <v>Dataset/benchmark</v>
      </c>
      <c r="G116" s="61" t="str">
        <v>Paper</v>
      </c>
      <c r="H116" s="62" t="str">
        <v>Pending</v>
      </c>
      <c r="I116" s="62" t="str"/>
      <c r="J116" s="61" t="str">
        <v>arXiv:2502.20694</v>
      </c>
      <c r="K116" s="61" t="str">
        <v>wmbench</v>
      </c>
      <c r="L116" s="61" t="str"/>
      <c r="M116" s="61" t="str">
        <v>Supported by the surgical manuscript discussion and earlier primary-source review notes; qualitative scope retained without new performance claims.</v>
      </c>
    </row>
    <row r="117" ht="62" customHeight="1">
      <c r="A117" s="60" t="n">
        <v>109</v>
      </c>
      <c r="B117" s="60" t="n">
        <v>2025</v>
      </c>
      <c r="C117" s="61" t="str">
        <v>Z. Huang et al., “VBench-2.0: Advancing video generation benchmark suite for intrinsic faithfulness,” arXiv preprint, 2025, arXiv:2503.21755.</v>
      </c>
      <c r="D117" s="61" t="str">
        <v>VBench-2.0 evaluates generated video for human fidelity, controllability, creativity, physics, and commonsense. Its metrics target intrinsic faithfulness beyond surface visual plausibility.</v>
      </c>
      <c r="E117" s="63" t="str">
        <v>https://arxiv.org/abs/2503.21755</v>
      </c>
      <c r="F117" s="61" t="str">
        <v>Dataset/benchmark</v>
      </c>
      <c r="G117" s="61" t="str">
        <v>Paper</v>
      </c>
      <c r="H117" s="62" t="str">
        <v>Pending</v>
      </c>
      <c r="I117" s="62" t="str"/>
      <c r="J117" s="61" t="str">
        <v>arXiv:2503.21755</v>
      </c>
      <c r="K117" s="61" t="str">
        <v>vbench2</v>
      </c>
      <c r="L117" s="61" t="str"/>
      <c r="M117" s="61" t="str">
        <v>Primary-source abstract or official release checked online on 2026-09-24; manuscript context used to identify the cited role.</v>
      </c>
    </row>
    <row r="118" ht="62" customHeight="1">
      <c r="A118" s="60" t="n">
        <v>110</v>
      </c>
      <c r="B118" s="60" t="n">
        <v>2024</v>
      </c>
      <c r="C118" s="61" t="str">
        <v>X. Li, K. Hsu, J. Gu, K. Pertsch, O. Mees, H. R. Walke, C. Fu, I. Lunawat, I. Sieh, S. Kirmani et al., “Evaluating real-world robot manipulation policies in simulation,” arXiv preprint, 2024, arXiv:2405.05941.</v>
      </c>
      <c r="D118" s="61" t="str">
        <v>SimplerEnv constructs simulated evaluations intended to correspond to physical robot manipulation settings. It studies how closely policy performance in these simulations tracks real-world evaluation.</v>
      </c>
      <c r="E118" s="63" t="str">
        <v>https://arxiv.org/abs/2405.05941</v>
      </c>
      <c r="F118" s="61" t="str">
        <v>Dataset/benchmark</v>
      </c>
      <c r="G118" s="61" t="str">
        <v>Paper</v>
      </c>
      <c r="H118" s="62" t="str">
        <v>Pending</v>
      </c>
      <c r="I118" s="62" t="str"/>
      <c r="J118" s="61" t="str">
        <v>arXiv:2405.05941</v>
      </c>
      <c r="K118" s="61" t="str">
        <v>simplerenv</v>
      </c>
      <c r="L118" s="61" t="str"/>
      <c r="M118" s="61" t="str">
        <v>Supported by the surgical manuscript discussion and earlier primary-source review notes; qualitative scope retained without new performance claims.</v>
      </c>
    </row>
    <row r="119" ht="70" customHeight="1">
      <c r="A119" s="60" t="n">
        <v>111</v>
      </c>
      <c r="B119" s="60" t="n">
        <v>2026</v>
      </c>
      <c r="C119" s="61" t="str">
        <v>R. Cui, Z. Zhang, J. Pang, H. Chi, J. Guo, S. Zhang, S. Xie, X. Jin, Y. Mu, J. Yang, G. Yao, X. Zhan, Y.-Q. Zhang, and H. Zhao, “LIBERO-Safety: A comprehensive benchmark for physical and semantic safety in vision-language-action models,” arXiv preprint, 2026, arXiv:2606.23686.</v>
      </c>
      <c r="D119" s="61" t="str">
        <v>LIBERO-Safety procedurally generates safety-critical manipulation scenarios and accompanying collision-free demonstrations. It evaluates physical and semantic safety properties of embodied policies under task constraints.</v>
      </c>
      <c r="E119" s="63" t="str">
        <v>https://arxiv.org/abs/2606.23686</v>
      </c>
      <c r="F119" s="61" t="str">
        <v>Dataset/benchmark</v>
      </c>
      <c r="G119" s="61" t="str">
        <v>Paper</v>
      </c>
      <c r="H119" s="62" t="str">
        <v>Pending</v>
      </c>
      <c r="I119" s="62" t="str"/>
      <c r="J119" s="61" t="str">
        <v>arXiv:2606.23686</v>
      </c>
      <c r="K119" s="61" t="str">
        <v>safelibero</v>
      </c>
      <c r="L119" s="61" t="str"/>
      <c r="M119" s="61" t="str">
        <v>Primary-source abstract or official release checked online on 2026-09-24; manuscript context used to identify the cited role.</v>
      </c>
    </row>
    <row r="120" ht="70" customHeight="1">
      <c r="A120" s="60" t="n">
        <v>112</v>
      </c>
      <c r="B120" s="60" t="n">
        <v>2023</v>
      </c>
      <c r="C120" s="61" t="str">
        <v>A. Z. Ren, A. Dixit, A. Bodrova, S. Singh, S. Tu, N. Brown, P. Xu, L. Takayama, F. Xia, J. Varley et al., “Robots that ask for help: Uncertainty alignment for large language model planners,” in Proc. Conf. Robot Learn. (CoRL), 2023, arXiv:2307.01928.</v>
      </c>
      <c r="D120" s="61" t="str">
        <v>KnowNo uses conformal prediction to calibrate uncertainty in language-model planning. The framework uses this uncertainty to determine when a robot should request human assistance.</v>
      </c>
      <c r="E120" s="63" t="str">
        <v>https://arxiv.org/abs/2307.01928</v>
      </c>
      <c r="F120" s="61" t="str">
        <v>Planning/control context</v>
      </c>
      <c r="G120" s="61" t="str">
        <v>Paper</v>
      </c>
      <c r="H120" s="62" t="str">
        <v>Pending</v>
      </c>
      <c r="I120" s="62" t="str"/>
      <c r="J120" s="61" t="str">
        <v>arXiv:2307.01928</v>
      </c>
      <c r="K120" s="61" t="str">
        <v>knowno</v>
      </c>
      <c r="L120" s="61" t="str"/>
      <c r="M120" s="61" t="str">
        <v>Source-checked VLA/action-policy README catalogue (2026-09-23) and surgical manuscript context; no new quantitative claim.</v>
      </c>
    </row>
    <row r="121" ht="62" customHeight="1">
      <c r="A121" s="60" t="n">
        <v>113</v>
      </c>
      <c r="B121" s="60" t="n">
        <v>2019</v>
      </c>
      <c r="C121" s="61" t="str">
        <v>A. D. Ames, S. Coogan, M. Egerstedt, G. Notomista, K. Sreenath, and P. Tabuada, “Control barrier functions: Theory and applications,” in Proc. Eur. Control Conf. (ECC), 2019.</v>
      </c>
      <c r="D121" s="61" t="str">
        <v>This overview explains how control barrier functions can verify and enforce safety properties of dynamical systems. It connects the theory to optimization-based safety-critical controllers and robotic applications.</v>
      </c>
      <c r="E121" s="63" t="str">
        <v>https://arxiv.org/abs/1903.11199</v>
      </c>
      <c r="F121" s="61" t="str">
        <v>Planning/control context</v>
      </c>
      <c r="G121" s="61" t="str">
        <v>Paper</v>
      </c>
      <c r="H121" s="62" t="str">
        <v>Pending</v>
      </c>
      <c r="I121" s="62" t="str"/>
      <c r="J121" s="61" t="str">
        <v>arXiv:1903.11199</v>
      </c>
      <c r="K121" s="61" t="str">
        <v>cbf</v>
      </c>
      <c r="L121" s="61" t="str">
        <v>Foundational control survey/tutorial, not a review-methodology reporting guideline.</v>
      </c>
      <c r="M121" s="61" t="str">
        <v>Primary-source abstract or official release checked online on 2026-09-24; manuscript context used to identify the cited role.</v>
      </c>
    </row>
    <row r="122" ht="62" customHeight="1">
      <c r="A122" s="60" t="n">
        <v>114</v>
      </c>
      <c r="B122" s="60" t="n">
        <v>2017</v>
      </c>
      <c r="C122" s="61" t="str">
        <v>S. Bansal, M. Chen, S. Herbert, and C. J. Tomlin, “Hamilton–Jacobi reachability: A brief overview and recent advances,” in Proc. IEEE Conf. Decis. Control (CDC), 2017.</v>
      </c>
      <c r="D122" s="61" t="str">
        <v>This tutorial reviews Hamilton-Jacobi reachability for analyzing safety and performance of nonlinear dynamical systems with bounded disturbances. It also discusses numerical tools and approaches to the computational difficulty of high-dimensional systems.</v>
      </c>
      <c r="E122" s="63" t="str">
        <v>https://arxiv.org/abs/1709.07523</v>
      </c>
      <c r="F122" s="61" t="str">
        <v>Planning/control context</v>
      </c>
      <c r="G122" s="61" t="str">
        <v>Paper</v>
      </c>
      <c r="H122" s="62" t="str">
        <v>Pending</v>
      </c>
      <c r="I122" s="62" t="str"/>
      <c r="J122" s="61" t="str">
        <v>arXiv:1709.07523</v>
      </c>
      <c r="K122" s="61" t="str">
        <v>hjreach</v>
      </c>
      <c r="L122" s="61" t="str">
        <v>Foundational control survey/tutorial, not a review-methodology reporting guideline.</v>
      </c>
      <c r="M122" s="61" t="str">
        <v>Primary-source abstract or official release checked online on 2026-09-24; manuscript context used to identify the cited role.</v>
      </c>
    </row>
    <row r="123" ht="62" customHeight="1">
      <c r="A123" s="60" t="n">
        <v>115</v>
      </c>
      <c r="B123" s="60" t="n">
        <v>2018</v>
      </c>
      <c r="C123" s="61" t="str">
        <v>D. Ha and J. Schmidhuber, “World models,” arXiv preprint, 2018, arXiv:1803.10122.</v>
      </c>
      <c r="D123" s="61" t="str">
        <v>World Models combines a variational image encoder, recurrent latent dynamics, and a compact controller. It demonstrates learning behavior within a learned environment in simulated control tasks.</v>
      </c>
      <c r="E123" s="63" t="str">
        <v>https://arxiv.org/abs/1803.10122</v>
      </c>
      <c r="F123" s="61" t="str">
        <v>World model/predictive system</v>
      </c>
      <c r="G123" s="61" t="str">
        <v>Paper</v>
      </c>
      <c r="H123" s="62" t="str">
        <v>Pending</v>
      </c>
      <c r="I123" s="62" t="str"/>
      <c r="J123" s="61" t="str">
        <v>arXiv:1803.10122</v>
      </c>
      <c r="K123" s="61" t="str">
        <v>worldmodels2018</v>
      </c>
      <c r="L123" s="61" t="str"/>
      <c r="M123" s="61" t="str">
        <v>Source-checked world-model README catalogue (2026-09-23) and surgical manuscript context; no new quantitative claim.</v>
      </c>
    </row>
    <row r="124" ht="62" customHeight="1">
      <c r="A124" s="60" t="n">
        <v>116</v>
      </c>
      <c r="B124" s="60" t="n">
        <v>2019</v>
      </c>
      <c r="C124" s="61" t="str">
        <v>D. Hafner, T. Lillicrap, I. Fischer, R. Villegas, D. Ha, H. Lee, and J. Davidson, “Learning latent dynamics for planning from pixels,” in Proc. Int. Conf. Mach. Learn. (ICML), 2019, arXiv:1811.04551. [Online]. Available:</v>
      </c>
      <c r="D124" s="61" t="str">
        <v>PlaNet learns action-conditioned recurrent latent dynamics from images. It uses model-predictive control to select action sequences by evaluating imagined futures.</v>
      </c>
      <c r="E124" s="63" t="str">
        <v>https://arxiv.org/abs/1811.04551</v>
      </c>
      <c r="F124" s="61" t="str">
        <v>World model/predictive system</v>
      </c>
      <c r="G124" s="61" t="str">
        <v>Paper</v>
      </c>
      <c r="H124" s="62" t="str">
        <v>Pending</v>
      </c>
      <c r="I124" s="62" t="str"/>
      <c r="J124" s="61" t="str">
        <v>arXiv:1811.04551</v>
      </c>
      <c r="K124" s="61" t="str">
        <v>planet</v>
      </c>
      <c r="L124" s="61" t="str"/>
      <c r="M124" s="61" t="str">
        <v>Source-checked world-model README catalogue (2026-09-23) and surgical manuscript context; no new quantitative claim.</v>
      </c>
    </row>
    <row r="125" ht="62" customHeight="1">
      <c r="A125" s="60" t="n">
        <v>117</v>
      </c>
      <c r="B125" s="60" t="n">
        <v>2025</v>
      </c>
      <c r="C125" s="61" t="str">
        <v>D. Hafner, J. Pasukonis, J. Ba, and T. Lillicrap, “Mastering diverse control tasks through world models,” Nature, vol. 640, pp. 647–653, 2025.</v>
      </c>
      <c r="D125" s="61" t="str">
        <v>DreamerV3 learns policies and value functions through trajectories imagined in a latent dynamics model. Its training design aims to support varied control domains with a common configuration.</v>
      </c>
      <c r="E125" s="63" t="str">
        <v>https://arxiv.org/abs/2301.04104</v>
      </c>
      <c r="F125" s="61" t="str">
        <v>World model/predictive system</v>
      </c>
      <c r="G125" s="61" t="str">
        <v>Paper</v>
      </c>
      <c r="H125" s="62" t="str">
        <v>Pending</v>
      </c>
      <c r="I125" s="62" t="str"/>
      <c r="J125" s="61" t="str">
        <v>arXiv:2301.04104</v>
      </c>
      <c r="K125" s="61" t="str">
        <v>dreamerv3</v>
      </c>
      <c r="L125" s="61" t="str"/>
      <c r="M125" s="61" t="str">
        <v>Source-checked world-model README catalogue (2026-09-23) and surgical manuscript context; no new quantitative claim.</v>
      </c>
    </row>
    <row r="126" ht="70" customHeight="1">
      <c r="A126" s="60" t="n">
        <v>118</v>
      </c>
      <c r="B126" s="60" t="n">
        <v>2020</v>
      </c>
      <c r="C126" s="61" t="str">
        <v>J. Schrittwieser, I. Antonoglou, T. Hubert, K. Simonyan, L. Sifre, S. Schmitt, A. Guez, E. Lockhart, D. Hassabis, T. Graepel et al., “Mastering Atari, Go, chess and shogi by planning with a learned model,” Nature, vol. 588, pp. 604–609, 2020.</v>
      </c>
      <c r="D126" s="61" t="str">
        <v>MuZero learns latent transitions that predict rewards, values, and action priors for tree search. Its cited demonstrations concern games, with planning-relevant prediction that does not require observation reconstruction.</v>
      </c>
      <c r="E126" s="63" t="str">
        <v>https://arxiv.org/abs/1911.08265</v>
      </c>
      <c r="F126" s="61" t="str">
        <v>World model/predictive system</v>
      </c>
      <c r="G126" s="61" t="str">
        <v>Paper</v>
      </c>
      <c r="H126" s="62" t="str">
        <v>Pending</v>
      </c>
      <c r="I126" s="62" t="str"/>
      <c r="J126" s="61" t="str">
        <v>arXiv:1911.08265</v>
      </c>
      <c r="K126" s="61" t="str">
        <v>muzero</v>
      </c>
      <c r="L126" s="61" t="str"/>
      <c r="M126" s="61" t="str">
        <v>Source-checked world-model README catalogue (2026-09-23) and surgical manuscript context; no new quantitative claim.</v>
      </c>
    </row>
    <row r="127" ht="62" customHeight="1">
      <c r="A127" s="60" t="n">
        <v>119</v>
      </c>
      <c r="B127" s="60" t="n">
        <v>2024</v>
      </c>
      <c r="C127" s="61" t="str">
        <v>N. Hansen, H. Su, and X. Wang, “TD-MPC2: Scalable, robust world models for continuous control,” in Proc. Int. Conf. Learn. Representations (ICLR), 2024, arXiv:2310.16828.</v>
      </c>
      <c r="D127" s="61" t="str">
        <v>TD-MPC2 learns task-conditioned latent dynamics and value functions for continuous control. These predictions support model-predictive control across multiple tasks.</v>
      </c>
      <c r="E127" s="63" t="str">
        <v>https://arxiv.org/abs/2310.16828</v>
      </c>
      <c r="F127" s="61" t="str">
        <v>World model/predictive system</v>
      </c>
      <c r="G127" s="61" t="str">
        <v>Paper</v>
      </c>
      <c r="H127" s="62" t="str">
        <v>Pending</v>
      </c>
      <c r="I127" s="62" t="str"/>
      <c r="J127" s="61" t="str">
        <v>arXiv:2310.16828</v>
      </c>
      <c r="K127" s="61" t="str">
        <v>tdmpc2</v>
      </c>
      <c r="L127" s="61" t="str"/>
      <c r="M127" s="61" t="str">
        <v>Source-checked world-model README catalogue (2026-09-23) and surgical manuscript context; no new quantitative claim.</v>
      </c>
    </row>
    <row r="128" ht="62" customHeight="1">
      <c r="A128" s="60" t="n">
        <v>120</v>
      </c>
      <c r="B128" s="60" t="n">
        <v>2023</v>
      </c>
      <c r="C128" s="61" t="str">
        <v>Y. Du, S. Yang, B. Dai, H. Dai, O. Nachum, J. B. Tenenbaum, D. Schuurmans, and P. Abbeel, “Learning universal policies via text-guided video generation,” in Adv. Neural Inf. Process. Syst. (NeurIPS), 2023.</v>
      </c>
      <c r="D128" s="61" t="str">
        <v>UniPi generates a language-conditioned video plan and recovers executable actions through inverse dynamics. The generated plan is a visual action proposal rather than a forward prediction conditioned on supplied candidate robot actions.</v>
      </c>
      <c r="E128" s="63" t="str">
        <v>https://arxiv.org/abs/2302.00111</v>
      </c>
      <c r="F128" s="61" t="str">
        <v>World model/predictive system</v>
      </c>
      <c r="G128" s="61" t="str">
        <v>Paper</v>
      </c>
      <c r="H128" s="62" t="str">
        <v>Pending</v>
      </c>
      <c r="I128" s="62" t="str"/>
      <c r="J128" s="61" t="str">
        <v>arXiv:2302.00111</v>
      </c>
      <c r="K128" s="61" t="str">
        <v>unipi</v>
      </c>
      <c r="L128" s="61" t="str"/>
      <c r="M128" s="61" t="str">
        <v>Source-checked world-model README catalogue (2026-09-23) and surgical manuscript context; no new quantitative claim.</v>
      </c>
    </row>
    <row r="129" ht="62" customHeight="1">
      <c r="A129" s="60" t="n">
        <v>121</v>
      </c>
      <c r="B129" s="60" t="n">
        <v>2024</v>
      </c>
      <c r="C129" s="61" t="str">
        <v>S. Yang, Y. Du, K. Ghasemipour, J. Tompson, L. Kaelbling, D. Schuurmans, and P. Abbeel, “Learning interactive real-world simulators,” in Proc. Int. Conf. Learn. Representations (ICLR), 2024.</v>
      </c>
      <c r="D129" s="61" t="str">
        <v>UniSim learns an interactive video simulator that responds to high-level instructions or low-level controls. It supports policy learning and evaluation through generated environment interactions.</v>
      </c>
      <c r="E129" s="63" t="str">
        <v>https://arxiv.org/abs/2310.06114</v>
      </c>
      <c r="F129" s="61" t="str">
        <v>World model/predictive system</v>
      </c>
      <c r="G129" s="61" t="str">
        <v>Paper</v>
      </c>
      <c r="H129" s="62" t="str">
        <v>Pending</v>
      </c>
      <c r="I129" s="62" t="str"/>
      <c r="J129" s="61" t="str">
        <v>arXiv:2310.06114</v>
      </c>
      <c r="K129" s="61" t="str">
        <v>unisim</v>
      </c>
      <c r="L129" s="61" t="str"/>
      <c r="M129" s="61" t="str">
        <v>Source-checked world-model README catalogue (2026-09-23) and surgical manuscript context; no new quantitative claim.</v>
      </c>
    </row>
    <row r="130" ht="62" customHeight="1">
      <c r="A130" s="60" t="n">
        <v>122</v>
      </c>
      <c r="B130" s="60" t="n">
        <v>2024</v>
      </c>
      <c r="C130" s="61" t="str">
        <v>P.-C. Ko, J. Mao, Y. Du, S.-H. Sun, and J. B. Tenenbaum, “Learning to act from actionless videos through dense correspondences,” in International Conference on Learning Representations (ICLR), 2024, arXiv:2310.08576.</v>
      </c>
      <c r="D130" s="61" t="str">
        <v>AVDC generates task-directed videos and uses dense correspondences between frames to infer control actions. This connects action-free video demonstrations to robot execution.</v>
      </c>
      <c r="E130" s="63" t="str">
        <v>https://arxiv.org/abs/2310.08576</v>
      </c>
      <c r="F130" s="61" t="str">
        <v>World model/predictive system</v>
      </c>
      <c r="G130" s="61" t="str">
        <v>Paper</v>
      </c>
      <c r="H130" s="62" t="str">
        <v>Pending</v>
      </c>
      <c r="I130" s="62" t="str"/>
      <c r="J130" s="61" t="str">
        <v>arXiv:2310.08576</v>
      </c>
      <c r="K130" s="61" t="str">
        <v>avdc</v>
      </c>
      <c r="L130" s="61" t="str"/>
      <c r="M130" s="61" t="str">
        <v>Source-checked world-model README catalogue (2026-09-23) and surgical manuscript context; no new quantitative claim.</v>
      </c>
    </row>
    <row r="131" ht="70" customHeight="1">
      <c r="A131" s="60" t="n">
        <v>123</v>
      </c>
      <c r="B131" s="60" t="n">
        <v>2024</v>
      </c>
      <c r="C131" s="61" t="str">
        <v>K. Black, M. Nakamoto, P. Atreya, H. Walke, C. Finn, A. Kumar, and S. Levine, “Zero-shot robotic manipulation with pretrained image-editing diffusion models,” in International Conference on Learning Representations (ICLR), 2024, arXiv:2310.10639.</v>
      </c>
      <c r="D131" s="61" t="str">
        <v>SuSIE adapts an image-editing diffusion model to propose visual subgoals from an observation and language instruction. A goal-conditioned controller executes the proposed subgoals.</v>
      </c>
      <c r="E131" s="63" t="str">
        <v>https://arxiv.org/abs/2310.10639</v>
      </c>
      <c r="F131" s="61" t="str">
        <v>World model/predictive system</v>
      </c>
      <c r="G131" s="61" t="str">
        <v>Paper</v>
      </c>
      <c r="H131" s="62" t="str">
        <v>Pending</v>
      </c>
      <c r="I131" s="62" t="str"/>
      <c r="J131" s="61" t="str">
        <v>arXiv:2310.10639</v>
      </c>
      <c r="K131" s="61" t="str">
        <v>susie</v>
      </c>
      <c r="L131" s="61" t="str"/>
      <c r="M131" s="61" t="str">
        <v>Source-checked world-model README catalogue (2026-09-23) and surgical manuscript context; no new quantitative claim.</v>
      </c>
    </row>
    <row r="132" ht="70" customHeight="1">
      <c r="A132" s="60" t="n">
        <v>124</v>
      </c>
      <c r="B132" s="60" t="n">
        <v>2024</v>
      </c>
      <c r="C132" s="61" t="str">
        <v>Y. Du, S. Yang, P. Florence, F. Xia, A. Wahid, B. Ichter, P. Sermanet, T. Yu, P. Abbeel, J. B. Tenenbaum, L. Kaelbling, A. Zeng, and J. Tompson, “Video language planning,” in International Conference on Learning Representations (ICLR), 2024, arXiv:2310.10625.</v>
      </c>
      <c r="D132" s="61" t="str">
        <v>Video Language Planning searches over language proposals and generated video continuations using vision-language policies and value functions. A goal-conditioned policy executes the resulting visual plan.</v>
      </c>
      <c r="E132" s="63" t="str">
        <v>https://arxiv.org/abs/2310.10625</v>
      </c>
      <c r="F132" s="61" t="str">
        <v>World model/predictive system</v>
      </c>
      <c r="G132" s="61" t="str">
        <v>Paper</v>
      </c>
      <c r="H132" s="62" t="str">
        <v>Pending</v>
      </c>
      <c r="I132" s="62" t="str"/>
      <c r="J132" s="61" t="str">
        <v>arXiv:2310.10625</v>
      </c>
      <c r="K132" s="61" t="str">
        <v>vlp</v>
      </c>
      <c r="L132" s="61" t="str"/>
      <c r="M132" s="61" t="str">
        <v>Source-checked world-model README catalogue (2026-09-23) and surgical manuscript context; no new quantitative claim.</v>
      </c>
    </row>
    <row r="133" ht="62" customHeight="1">
      <c r="A133" s="60" t="n">
        <v>125</v>
      </c>
      <c r="B133" s="60" t="n">
        <v>2024</v>
      </c>
      <c r="C133" s="61" t="str">
        <v>J. Wu, S. Yin, N. Feng, X. He, D. Li, J. Hao, and M. Long, “iVideoGPT: Interactive VideoGPTs are scalable world models,” in Advances in Neural Information Processing Systems (NeurIPS), 2024, arXiv:2405.15223. [Online]. Available:</v>
      </c>
      <c r="D133" s="61" t="str">
        <v>iVideoGPT autoregressively models tokenized observations, actions, and rewards. Its learned dynamics support interactive video prediction, visual planning, and model-based reinforcement learning.</v>
      </c>
      <c r="E133" s="63" t="str">
        <v>https://arxiv.org/abs/2405.15223</v>
      </c>
      <c r="F133" s="61" t="str">
        <v>World model/predictive system</v>
      </c>
      <c r="G133" s="61" t="str">
        <v>Paper</v>
      </c>
      <c r="H133" s="62" t="str">
        <v>Pending</v>
      </c>
      <c r="I133" s="62" t="str"/>
      <c r="J133" s="61" t="str">
        <v>arXiv:2405.15223</v>
      </c>
      <c r="K133" s="61" t="str">
        <v>ivideogpt</v>
      </c>
      <c r="L133" s="61" t="str"/>
      <c r="M133" s="61" t="str">
        <v>Source-checked world-model README catalogue (2026-09-23) and surgical manuscript context; no new quantitative claim.</v>
      </c>
    </row>
    <row r="134" ht="70" customHeight="1">
      <c r="A134" s="60" t="n">
        <v>126</v>
      </c>
      <c r="B134" s="60" t="n">
        <v>2024</v>
      </c>
      <c r="C134" s="61" t="str">
        <v>H. Wu, Y. Jing, C. Cheang, G. Chen, J. Xu, X. Li, M. Liu, H. Li, and T. Kong, “Unleashing large-scale video generative pre-training for visual robot manipulation,” in Proc. Int. Conf. Learn. Representations (ICLR), 2024, arXiv:2312.13139.</v>
      </c>
      <c r="D134" s="61" t="str">
        <v>GR-1 predicts future images and robot actions from language, visual history, and robot state after video pretraining. This shared predictive-policy training is distinct from searching over supplied candidate actions during deployment.</v>
      </c>
      <c r="E134" s="63" t="str">
        <v>https://arxiv.org/abs/2312.13139</v>
      </c>
      <c r="F134" s="61" t="str">
        <v>VLA/action policy</v>
      </c>
      <c r="G134" s="61" t="str">
        <v>Paper</v>
      </c>
      <c r="H134" s="62" t="str">
        <v>Pending</v>
      </c>
      <c r="I134" s="62" t="str"/>
      <c r="J134" s="61" t="str">
        <v>arXiv:2312.13139</v>
      </c>
      <c r="K134" s="61" t="str">
        <v>gr1</v>
      </c>
      <c r="L134" s="61" t="str"/>
      <c r="M134" s="61" t="str">
        <v>Source-checked world-model README catalogue (2026-09-23) and surgical manuscript context; no new quantitative claim.</v>
      </c>
    </row>
    <row r="135" ht="70" customHeight="1">
      <c r="A135" s="60" t="n">
        <v>127</v>
      </c>
      <c r="B135" s="60" t="n">
        <v>2024</v>
      </c>
      <c r="C135" s="61" t="str">
        <v>J. Bruce, M. Dennis, A. Edwards, J. Parker-Holder, Y. Shi, E. Hughes, M. Lai, A. Mavalankar, R. Steigerwald, C. Apps et al., “Genie: Generative interactive environments,” in Proc. Int. Conf. Mach. Learn. (ICML), 2024, arXiv:2402.15391.</v>
      </c>
      <c r="D135" s="61" t="str">
        <v>Genie learns latent actions and interactive video dynamics from unlabelled video. Its generated environments respond to controls, providing a precursor for learned interactive simulation.</v>
      </c>
      <c r="E135" s="63" t="str">
        <v>https://arxiv.org/abs/2402.15391</v>
      </c>
      <c r="F135" s="61" t="str">
        <v>World model/predictive system</v>
      </c>
      <c r="G135" s="61" t="str">
        <v>Paper</v>
      </c>
      <c r="H135" s="62" t="str">
        <v>Pending</v>
      </c>
      <c r="I135" s="62" t="str"/>
      <c r="J135" s="61" t="str">
        <v>arXiv:2402.15391</v>
      </c>
      <c r="K135" s="61" t="str">
        <v>genie1</v>
      </c>
      <c r="L135" s="61" t="str"/>
      <c r="M135" s="61" t="str">
        <v>Source-checked world-model README catalogue (2026-09-23) and surgical manuscript context; no new quantitative claim.</v>
      </c>
    </row>
    <row r="136" ht="62" customHeight="1">
      <c r="A136" s="60" t="n">
        <v>128</v>
      </c>
      <c r="B136" s="60" t="n">
        <v>2025</v>
      </c>
      <c r="C136" s="61" t="str">
        <v>Google DeepMind, “Genie 3: A new frontier for world models,” Google DeepMind announcement, 2025.</v>
      </c>
      <c r="D136" s="61" t="str">
        <v>Genie 3 generates interactive visual environments that respond to user controls. The cited research announcement concerns environment generation rather than validated physical robot dynamics.</v>
      </c>
      <c r="E136" s="63" t="str">
        <v>https://deepmind.google/blog/genie-3-a-new-frontier-for-world-models/</v>
      </c>
      <c r="F136" s="61" t="str">
        <v>Vendor technical release</v>
      </c>
      <c r="G136" s="61" t="str">
        <v>Technical release / software</v>
      </c>
      <c r="H136" s="62" t="str">
        <v>Pending</v>
      </c>
      <c r="I136" s="62" t="str"/>
      <c r="J136" s="61" t="str">
        <v>https://deepmind.google/blog/genie-3-a-new-frontier-for-world-models/</v>
      </c>
      <c r="K136" s="61" t="str">
        <v>genie3</v>
      </c>
      <c r="L136" s="61" t="str"/>
      <c r="M136" s="61" t="str">
        <v>Source-checked world-model README catalogue (2026-09-23) and surgical manuscript context; no new quantitative claim.</v>
      </c>
    </row>
    <row r="137" ht="62" customHeight="1">
      <c r="A137" s="60" t="n">
        <v>129</v>
      </c>
      <c r="B137" s="60" t="n">
        <v>2025</v>
      </c>
      <c r="C137" s="61" t="str">
        <v>Liao et al., “Genie envisioner: A unified world foundation platform for robotic manipulation,” arXiv preprint, 2025, arXiv:2508.05635.</v>
      </c>
      <c r="D137" s="61" t="str">
        <v>Genie Envisioner connects instruction-conditioned video modeling, action generation, and learned simulation within one platform. Its GE-Base, GE-Act, and GE-Sim components serve different predictive and control roles.</v>
      </c>
      <c r="E137" s="63" t="str">
        <v>https://arxiv.org/abs/2508.05635</v>
      </c>
      <c r="F137" s="61" t="str">
        <v>World model/predictive system</v>
      </c>
      <c r="G137" s="61" t="str">
        <v>Paper</v>
      </c>
      <c r="H137" s="62" t="str">
        <v>Pending</v>
      </c>
      <c r="I137" s="62" t="str"/>
      <c r="J137" s="61" t="str">
        <v>arXiv:2508.05635</v>
      </c>
      <c r="K137" s="61" t="str">
        <v>genieenvisioner</v>
      </c>
      <c r="L137" s="61" t="str"/>
      <c r="M137" s="61" t="str">
        <v>Source-checked world-model README catalogue (2026-09-23) and surgical manuscript context; no new quantitative claim.</v>
      </c>
    </row>
    <row r="138" ht="70" customHeight="1">
      <c r="A138" s="60" t="n">
        <v>130</v>
      </c>
      <c r="B138" s="60" t="n">
        <v>2023</v>
      </c>
      <c r="C138" s="61" t="str">
        <v>M. Assran, Q. Duval, I. Misra, P. Bojanowski, P. Vincent, M. Rabbat, Y. LeCun, and N. Ballas, “Self-supervised learning from images with a joint-embedding predictive architecture,” in Proc. IEEE/CVF Conf. Comput. Vis. Pattern Recognit. (CVPR), 2023.</v>
      </c>
      <c r="D138" s="61" t="str">
        <v>I-JEPA learns image representations by predicting target-region embeddings from visible context. It is a representation-learning precursor rather than a temporal, action-conditioned robot dynamics model.</v>
      </c>
      <c r="E138" s="63" t="str">
        <v>https://arxiv.org/abs/2301.08243</v>
      </c>
      <c r="F138" s="61" t="str">
        <v>World model/predictive system</v>
      </c>
      <c r="G138" s="61" t="str">
        <v>Paper</v>
      </c>
      <c r="H138" s="62" t="str">
        <v>Pending</v>
      </c>
      <c r="I138" s="62" t="str"/>
      <c r="J138" s="61" t="str">
        <v>arXiv:2301.08243</v>
      </c>
      <c r="K138" s="61" t="str">
        <v>ijepa</v>
      </c>
      <c r="L138" s="61" t="str"/>
      <c r="M138" s="61" t="str">
        <v>Source-checked world-model README catalogue (2026-09-23) and surgical manuscript context; no new quantitative claim.</v>
      </c>
    </row>
    <row r="139" ht="62" customHeight="1">
      <c r="A139" s="60" t="n">
        <v>131</v>
      </c>
      <c r="B139" s="60" t="n">
        <v>2024</v>
      </c>
      <c r="C139" s="61" t="str">
        <v>A. Bardes, Q. Garrido, J. Ponce, X. Chen, M. Rabbat, Y. LeCun, M. Assran, and N. Ballas, “Revisiting feature prediction for learning visual representations from video,” Trans. Mach. Learn. Res. (TMLR), 2024.</v>
      </c>
      <c r="D139" s="61" t="str">
        <v>V-JEPA learns video representations by predicting masked spatiotemporal features. Its action-free pretraining provides predictive representations without directly defining a robot-action-conditioned forward model.</v>
      </c>
      <c r="E139" s="63" t="str">
        <v>https://arxiv.org/abs/2404.08471</v>
      </c>
      <c r="F139" s="61" t="str">
        <v>World model/predictive system</v>
      </c>
      <c r="G139" s="61" t="str">
        <v>Paper</v>
      </c>
      <c r="H139" s="62" t="str">
        <v>Pending</v>
      </c>
      <c r="I139" s="62" t="str"/>
      <c r="J139" s="61" t="str">
        <v>arXiv:2404.08471</v>
      </c>
      <c r="K139" s="61" t="str">
        <v>vjepa</v>
      </c>
      <c r="L139" s="61" t="str"/>
      <c r="M139" s="61" t="str">
        <v>Source-checked world-model README catalogue (2026-09-23) and surgical manuscript context; no new quantitative claim.</v>
      </c>
    </row>
    <row r="140" ht="62" customHeight="1">
      <c r="A140" s="60" t="n">
        <v>132</v>
      </c>
      <c r="B140" s="60" t="n">
        <v>2024</v>
      </c>
      <c r="C140" s="61" t="str">
        <v>G. Zhou, H. Pan, Y. LeCun, and L. Pinto, “DINO-WM: World models on pre-trained visual features enable zero-shot planning,” arXiv preprint, 2024, arXiv:2411.04983.</v>
      </c>
      <c r="D140" s="61" t="str">
        <v>DINO-WM learns action-conditioned transitions over pretrained DINO image features. It plans toward visual goals in feature space without reconstructing future images.</v>
      </c>
      <c r="E140" s="63" t="str">
        <v>https://arxiv.org/abs/2411.04983</v>
      </c>
      <c r="F140" s="61" t="str">
        <v>World model/predictive system</v>
      </c>
      <c r="G140" s="61" t="str">
        <v>Paper</v>
      </c>
      <c r="H140" s="62" t="str">
        <v>Pending</v>
      </c>
      <c r="I140" s="62" t="str"/>
      <c r="J140" s="61" t="str">
        <v>arXiv:2411.04983</v>
      </c>
      <c r="K140" s="61" t="str">
        <v>dinowm</v>
      </c>
      <c r="L140" s="61" t="str"/>
      <c r="M140" s="61" t="str">
        <v>Source-checked world-model README catalogue (2026-09-23) and surgical manuscript context; no new quantitative claim.</v>
      </c>
    </row>
    <row r="141" ht="62" customHeight="1">
      <c r="A141" s="60" t="n">
        <v>133</v>
      </c>
      <c r="B141" s="60" t="n">
        <v>2026</v>
      </c>
      <c r="C141" s="61" t="str">
        <v>J. Chen, K. Wang, K. Chen, S. Chen, F. Gao, W. Tang, Z. Li, W. Liu, Z. Yao, B. Li, Y. Xu, and C. Yu, “LaWAM: Latent world action models for efficient dynamics-aware robot policies,” arXiv preprint, 2026, arXiv:2606.15768.</v>
      </c>
      <c r="D141" s="61" t="str">
        <v>LaWAM predicts latent visual subgoals and conditions robot-action generation on them. It incorporates predictive information into a policy without requiring dense future-image generation.</v>
      </c>
      <c r="E141" s="63" t="str">
        <v>https://arxiv.org/abs/2606.15768</v>
      </c>
      <c r="F141" s="61" t="str">
        <v>World model/predictive system</v>
      </c>
      <c r="G141" s="61" t="str">
        <v>Paper</v>
      </c>
      <c r="H141" s="62" t="str">
        <v>Pending</v>
      </c>
      <c r="I141" s="62" t="str"/>
      <c r="J141" s="61" t="str">
        <v>arXiv:2606.15768</v>
      </c>
      <c r="K141" s="61" t="str">
        <v>lawam</v>
      </c>
      <c r="L141" s="61" t="str"/>
      <c r="M141" s="61" t="str">
        <v>Source-checked world-model README catalogue (2026-09-23) and surgical manuscript context; no new quantitative claim.</v>
      </c>
    </row>
    <row r="142" ht="62" customHeight="1">
      <c r="A142" s="60" t="n">
        <v>134</v>
      </c>
      <c r="B142" s="60" t="n">
        <v>2026</v>
      </c>
      <c r="C142" s="61" t="str">
        <v>J. Sun, W. Zhang, Z. Qi, S. Ren, Z. Liu, H. Zhu, G. Sun, X. Jin, and Z. Chen, “VLA-JEPA: Enhancing vision-language-action model with latent world model,” arXiv preprint, 2026, arXiv:2602.10098.</v>
      </c>
      <c r="D142" s="61" t="str">
        <v>VLA-JEPA pretrains a policy backbone to predict future latent states from current observations. It subsequently adapts an action head, with future frames serving as training targets rather than inputs to the prediction pathway.</v>
      </c>
      <c r="E142" s="63" t="str">
        <v>https://arxiv.org/abs/2602.10098</v>
      </c>
      <c r="F142" s="61" t="str">
        <v>World model/predictive system</v>
      </c>
      <c r="G142" s="61" t="str">
        <v>Paper</v>
      </c>
      <c r="H142" s="62" t="str">
        <v>Pending</v>
      </c>
      <c r="I142" s="62" t="str"/>
      <c r="J142" s="61" t="str">
        <v>arXiv:2602.10098</v>
      </c>
      <c r="K142" s="61" t="str">
        <v>jepavla</v>
      </c>
      <c r="L142" s="61" t="str">
        <v>Citation key aliases VLA-JEPA, not a separate JEPA-VLA report.</v>
      </c>
      <c r="M142" s="61" t="str">
        <v>Source-checked world-model README catalogue (2026-09-23) and surgical manuscript context; no new quantitative claim.</v>
      </c>
    </row>
    <row r="143" ht="62" customHeight="1">
      <c r="A143" s="60" t="n">
        <v>135</v>
      </c>
      <c r="B143" s="60" t="n">
        <v>2025</v>
      </c>
      <c r="C143" s="61" t="str">
        <v>H. Zhen, Q. Sun, H. Zhang, J. Li, S. Zhou, Y. Du, and C. Gan, “TesserAct: Learning 4D embodied world models,” arXiv preprint, 2025, arXiv:2504.20995.</v>
      </c>
      <c r="D143" s="61" t="str">
        <v>TesserAct predicts RGB, depth, and surface-normal video to represent how three-dimensional scenes evolve. Its multimodal predictions also support learning inverse dynamics for embodied tasks.</v>
      </c>
      <c r="E143" s="63" t="str">
        <v>https://arxiv.org/abs/2504.20995</v>
      </c>
      <c r="F143" s="61" t="str">
        <v>World model/predictive system</v>
      </c>
      <c r="G143" s="61" t="str">
        <v>Paper</v>
      </c>
      <c r="H143" s="62" t="str">
        <v>Pending</v>
      </c>
      <c r="I143" s="62" t="str"/>
      <c r="J143" s="61" t="str">
        <v>arXiv:2504.20995</v>
      </c>
      <c r="K143" s="61" t="str">
        <v>tesseract</v>
      </c>
      <c r="L143" s="61" t="str"/>
      <c r="M143" s="61" t="str">
        <v>Source-checked world-model README catalogue (2026-09-23) and surgical manuscript context; no new quantitative claim.</v>
      </c>
    </row>
    <row r="144" ht="62" customHeight="1">
      <c r="A144" s="60" t="n">
        <v>136</v>
      </c>
      <c r="B144" s="60" t="n">
        <v>2025</v>
      </c>
      <c r="C144" s="61" t="str">
        <v>G. Lu, B. Jia, P. Li, Y. Chen, Z. Wang, Y. Tang, and S. Huang, “GWM: Towards scalable gaussian world models for robotic manipulation,” in IEEE/CVF International Conference on Computer Vision (ICCV), pp. 9263–9274, 2025.</v>
      </c>
      <c r="D144" s="61" t="str">
        <v>GWM models action-conditioned manipulation dynamics using Gaussian scene representations. The paper studies this representation for predictive pretraining and learned simulation.</v>
      </c>
      <c r="E144" s="63" t="str">
        <v>https://arxiv.org/abs/2508.17600</v>
      </c>
      <c r="F144" s="61" t="str">
        <v>World model/predictive system</v>
      </c>
      <c r="G144" s="61" t="str">
        <v>Paper</v>
      </c>
      <c r="H144" s="62" t="str">
        <v>Pending</v>
      </c>
      <c r="I144" s="62" t="str"/>
      <c r="J144" s="61" t="str">
        <v>arXiv:2508.17600</v>
      </c>
      <c r="K144" s="61" t="str">
        <v>gaussianworld</v>
      </c>
      <c r="L144" s="61" t="str"/>
      <c r="M144" s="61" t="str">
        <v>Source-checked world-model README catalogue (2026-09-23) and surgical manuscript context; no new quantitative claim.</v>
      </c>
    </row>
    <row r="145" ht="62" customHeight="1">
      <c r="A145" s="60" t="n">
        <v>137</v>
      </c>
      <c r="B145" s="60" t="n">
        <v>2024</v>
      </c>
      <c r="C145" s="61" t="str">
        <v>G. Lu, S. Zhang, Z. Wang, C. Liu, J. Lu, and Y. Tang, “ManiGaussian: Dynamic gaussian splatting for multi-task robotic manipulation,” in European Conference on Computer Vision (ECCV), 2024, arXiv:2403.08321. [Online]. Available:</v>
      </c>
      <c r="D145" s="61" t="str">
        <v>ManiGaussian uses dynamic Gaussian representations and future-scene reconstruction as predictive supervision for manipulation. Its language-conditioned policy evaluation is conducted in RLBench simulation.</v>
      </c>
      <c r="E145" s="63" t="str">
        <v>https://arxiv.org/abs/2403.08321</v>
      </c>
      <c r="F145" s="61" t="str">
        <v>World model/predictive system</v>
      </c>
      <c r="G145" s="61" t="str">
        <v>Paper</v>
      </c>
      <c r="H145" s="62" t="str">
        <v>Pending</v>
      </c>
      <c r="I145" s="62" t="str"/>
      <c r="J145" s="61" t="str">
        <v>arXiv:2403.08321</v>
      </c>
      <c r="K145" s="61" t="str">
        <v>manigaussian</v>
      </c>
      <c r="L145" s="61" t="str"/>
      <c r="M145" s="61" t="str">
        <v>Source-checked world-model README catalogue (2026-09-23) and surgical manuscript context; no new quantitative claim.</v>
      </c>
    </row>
    <row r="146" ht="70" customHeight="1">
      <c r="A146" s="60" t="n">
        <v>138</v>
      </c>
      <c r="B146" s="60" t="n">
        <v>2024</v>
      </c>
      <c r="C146" s="61" t="str">
        <v>T. Zhang, H.-X. Yu, R. Wu, B. Y. Feng, C. Zheng, N. Snavely, J. Wu, and W. T. Freeman, “PhysDreamer: Physics-based interaction with 3D objects via video generation,” in European Conference on Computer Vision (ECCV), 2024, arXiv:2404.13026.</v>
      </c>
      <c r="D146" s="61" t="str">
        <v>PhysDreamer distills motion information from video generation into physical material estimates and interactive three-dimensional dynamics. Its object-response demonstrations provide context for physical prediction rather than direct evidence of robot task success.</v>
      </c>
      <c r="E146" s="63" t="str">
        <v>https://arxiv.org/abs/2404.13026</v>
      </c>
      <c r="F146" s="61" t="str">
        <v>World model/predictive system</v>
      </c>
      <c r="G146" s="61" t="str">
        <v>Paper</v>
      </c>
      <c r="H146" s="62" t="str">
        <v>Pending</v>
      </c>
      <c r="I146" s="62" t="str"/>
      <c r="J146" s="61" t="str">
        <v>arXiv:2404.13026</v>
      </c>
      <c r="K146" s="61" t="str">
        <v>physdreamer</v>
      </c>
      <c r="L146" s="61" t="str"/>
      <c r="M146" s="61" t="str">
        <v>Source-checked world-model README catalogue (2026-09-23) and surgical manuscript context; no new quantitative claim.</v>
      </c>
    </row>
    <row r="147" ht="70" customHeight="1">
      <c r="A147" s="60" t="n">
        <v>139</v>
      </c>
      <c r="B147" s="60" t="n">
        <v>2026</v>
      </c>
      <c r="C147" s="61" t="str">
        <v>S. Wu et al., “Tactile-W AM: Touch-aware world action model with tactile asymmetric attention,” arXiv preprint, 2026, arXiv:2606.26663.</v>
      </c>
      <c r="D147" s="61" t="str">
        <v>Tactile-WAM jointly models visual, tactile, and action information with tactile asymmetric attention. It directs contact information toward action prediction while limiting interference with video generation.</v>
      </c>
      <c r="E147" s="63" t="str">
        <v>https://arxiv.org/abs/2606.26663</v>
      </c>
      <c r="F147" s="61" t="str">
        <v>World model/predictive system</v>
      </c>
      <c r="G147" s="61" t="str">
        <v>Paper</v>
      </c>
      <c r="H147" s="62" t="str">
        <v>Pending</v>
      </c>
      <c r="I147" s="62" t="str"/>
      <c r="J147" s="61" t="str">
        <v>arXiv:2606.26663</v>
      </c>
      <c r="K147" s="61" t="str">
        <v>dreamtac</v>
      </c>
      <c r="L147" s="61" t="str">
        <v>Citation key is an alias for Tactile-WAM; not an additional DreamTac report. Recovered title has a spacing error.</v>
      </c>
      <c r="M147" s="61" t="str">
        <v>Source-checked world-model README catalogue (2026-09-23) and surgical manuscript context; no new quantitative claim. The legacy bib_key dreamtac resolves to Tactile-WAM, not a separate DreamTac model.</v>
      </c>
    </row>
    <row r="148" ht="62" customHeight="1">
      <c r="A148" s="60" t="n">
        <v>140</v>
      </c>
      <c r="B148" s="60" t="n">
        <v>2026</v>
      </c>
      <c r="C148" s="61" t="str">
        <v>J. Zhou, F. Hong, Y. Li, Y. Zhao, Y. Cen, Z. Liu, J. Huang, Z. Chen, R. Zhang, W. Zhu et al., “TouchWorld: A predictive and reactive tactile foundation model for dexterous manipulation,” arXiv preprint, 2026, arXiv:2607.07287.</v>
      </c>
      <c r="D148" s="61" t="str">
        <v>TouchWorld combines predicted tactile subgoals and visuomotor action chunks with a faster tactile and proprioceptive correction policy. This joins predictive and reactive control for contact-rich dexterous manipulation.</v>
      </c>
      <c r="E148" s="63" t="str">
        <v>https://arxiv.org/abs/2607.07287</v>
      </c>
      <c r="F148" s="61" t="str">
        <v>World model/predictive system</v>
      </c>
      <c r="G148" s="61" t="str">
        <v>Paper</v>
      </c>
      <c r="H148" s="62" t="str">
        <v>Pending</v>
      </c>
      <c r="I148" s="62" t="str"/>
      <c r="J148" s="61" t="str">
        <v>arXiv:2607.07287</v>
      </c>
      <c r="K148" s="61" t="str">
        <v>touchworld</v>
      </c>
      <c r="L148" s="61" t="str"/>
      <c r="M148" s="61" t="str">
        <v>Source-checked world-model README catalogue (2026-09-23) and surgical manuscript context; no new quantitative claim.</v>
      </c>
    </row>
    <row r="149" ht="70" customHeight="1">
      <c r="A149" s="60" t="n">
        <v>141</v>
      </c>
      <c r="B149" s="60" t="n">
        <v>2023</v>
      </c>
      <c r="C149" s="61" t="str">
        <v>A. Mandlekar, S. Nasiriany, B. Wen, I. Akinola, Y. Narang, L. Fan, Y. Zhu, and D. Fox, “MimicGen: A data generation system for scalable robot learning using human demonstrations,” in Conference on Robot Learning (CoRL), 2023, arXiv:2310.17596.</v>
      </c>
      <c r="D149" s="61" t="str">
        <v>MimicGen transforms and recombines human demonstrations to generate additional robot trajectories in conventional simulation. It is a demonstration-expansion pipeline rather than a learned environment dynamics model.</v>
      </c>
      <c r="E149" s="63" t="str">
        <v>https://arxiv.org/abs/2310.17596</v>
      </c>
      <c r="F149" s="61" t="str">
        <v>Data-generation method</v>
      </c>
      <c r="G149" s="61" t="str">
        <v>Paper</v>
      </c>
      <c r="H149" s="62" t="str">
        <v>Pending</v>
      </c>
      <c r="I149" s="62" t="str"/>
      <c r="J149" s="61" t="str">
        <v>arXiv:2310.17596</v>
      </c>
      <c r="K149" s="61" t="str">
        <v>mimicgen</v>
      </c>
      <c r="L149" s="61" t="str"/>
      <c r="M149" s="61" t="str">
        <v>Source-checked world-model README catalogue (2026-09-23) and surgical manuscript context; no new quantitative claim.</v>
      </c>
    </row>
    <row r="150" ht="70" customHeight="1">
      <c r="A150" s="60" t="n">
        <v>142</v>
      </c>
      <c r="B150" s="60" t="n">
        <v>2025</v>
      </c>
      <c r="C150" s="61" t="str">
        <v>Z. Jiang, Y. Xie, K. Lin, Z. Xu, W. Wan, A. Mandlekar, L. Fan, and Y. Zhu, “DexMimicGen: Automated data generation for bimanual dexterous manipulation via imitation learning,” in IEEE International Conference on Robotics and Automation (ICRA), 2025, arXiv:2410.24185.</v>
      </c>
      <c r="D150" s="61" t="str">
        <v>DexMimicGen extends demonstration-based data generation to bimanual dexterous manipulation in simulation. It handles coordination between manipulators when synthesizing trajectories for imitation learning.</v>
      </c>
      <c r="E150" s="63" t="str">
        <v>https://arxiv.org/abs/2410.24185</v>
      </c>
      <c r="F150" s="61" t="str">
        <v>Data-generation method</v>
      </c>
      <c r="G150" s="61" t="str">
        <v>Paper</v>
      </c>
      <c r="H150" s="62" t="str">
        <v>Pending</v>
      </c>
      <c r="I150" s="62" t="str"/>
      <c r="J150" s="61" t="str">
        <v>arXiv:2410.24185</v>
      </c>
      <c r="K150" s="61" t="str">
        <v>dexmimicgen</v>
      </c>
      <c r="L150" s="61" t="str"/>
      <c r="M150" s="61" t="str">
        <v>Source-checked world-model README catalogue (2026-09-23) and surgical manuscript context; no new quantitative claim.</v>
      </c>
    </row>
    <row r="151" ht="62" customHeight="1">
      <c r="A151" s="60" t="n">
        <v>143</v>
      </c>
      <c r="B151" s="60" t="n">
        <v>2025</v>
      </c>
      <c r="C151" s="61" t="str">
        <v>Y. Li, Y. Zhu, J. Wen, C. Shen, and Y. Xu, “WorldEval: World model as real-world robot policies evaluator,” arXiv preprint, 2025, arXiv:2505.19017.</v>
      </c>
      <c r="D151" s="61" t="str">
        <v>WorldEval adapts video generation to action-following simulation using Policy2Vec. It evaluates robot policies through generated rollouts instead of requiring each evaluation to run on hardware.</v>
      </c>
      <c r="E151" s="63" t="str">
        <v>https://arxiv.org/abs/2505.19017</v>
      </c>
      <c r="F151" s="61" t="str">
        <v>World model/predictive system</v>
      </c>
      <c r="G151" s="61" t="str">
        <v>Paper</v>
      </c>
      <c r="H151" s="62" t="str">
        <v>Pending</v>
      </c>
      <c r="I151" s="62" t="str"/>
      <c r="J151" s="61" t="str">
        <v>arXiv:2505.19017</v>
      </c>
      <c r="K151" s="61" t="str">
        <v>policyeval</v>
      </c>
      <c r="L151" s="61" t="str"/>
      <c r="M151" s="61" t="str">
        <v>Source-checked world-model README catalogue (2026-09-23) and surgical manuscript context; no new quantitative claim.</v>
      </c>
    </row>
    <row r="152" ht="62" customHeight="1">
      <c r="A152" s="60" t="n">
        <v>144</v>
      </c>
      <c r="B152" s="60" t="n">
        <v>2026</v>
      </c>
      <c r="C152" s="61" t="str">
        <v>A. K. Sharma, Y. Sun, N. Lu, Y. Zhang, J. Liu, and S. Yang, “WorldGymnast: Training robots with reinforcement learning in a world model,” arXiv preprint, 2026, arXiv:2602.02454.</v>
      </c>
      <c r="D152" s="61" t="str">
        <v>World-Gymnast trains robot policies with reinforcement learning inside a learned environment and tests transfer to hardware. Its physical-task comparisons provide evidence about the complete training-and-simulation package rather than isolating every component.</v>
      </c>
      <c r="E152" s="63" t="str">
        <v>https://arxiv.org/abs/2602.02454</v>
      </c>
      <c r="F152" s="61" t="str">
        <v>World model/predictive system</v>
      </c>
      <c r="G152" s="61" t="str">
        <v>Paper</v>
      </c>
      <c r="H152" s="62" t="str">
        <v>Pending</v>
      </c>
      <c r="I152" s="62" t="str"/>
      <c r="J152" s="61" t="str">
        <v>arXiv:2602.02454</v>
      </c>
      <c r="K152" s="61" t="str">
        <v>sharma2026worldgymnast</v>
      </c>
      <c r="L152" s="61" t="str"/>
      <c r="M152" s="61" t="str">
        <v>Source-checked world-model README catalogue (2026-09-23) and surgical manuscript context; no new quantitative claim.</v>
      </c>
    </row>
    <row r="153" ht="62" customHeight="1">
      <c r="A153" s="60" t="n">
        <v>145</v>
      </c>
      <c r="B153" s="60" t="n">
        <v>2025</v>
      </c>
      <c r="C153" s="61" t="str">
        <v>R. Zheng, J. Wang, S. Reed, J. Bjorck, Y. Fang, F. Hu, J. Jang, K. Kundalia, Z. Lin, L. Magne et al., “FLARE: Robot learning with implicit world modeling,” in Proc. Conf. Robot Learn. (CoRL), 2025, arXiv:2505.15659.</v>
      </c>
      <c r="D153" s="61" t="str">
        <v>FLARE aligns policy features with embeddings of future observations to incorporate latent prediction into diffusion-based action learning. It also supports co-training with action-free video and is distinct from the reinforcement-learning method FLaRe.</v>
      </c>
      <c r="E153" s="63" t="str">
        <v>https://arxiv.org/abs/2505.15659</v>
      </c>
      <c r="F153" s="61" t="str">
        <v>World model/predictive system</v>
      </c>
      <c r="G153" s="61" t="str">
        <v>Paper</v>
      </c>
      <c r="H153" s="62" t="str">
        <v>Pending</v>
      </c>
      <c r="I153" s="62" t="str"/>
      <c r="J153" s="61" t="str">
        <v>arXiv:2505.15659</v>
      </c>
      <c r="K153" s="61" t="str">
        <v>flarewm</v>
      </c>
      <c r="L153" s="61" t="str">
        <v>FLARE predictive alignment paper is distinct from FLaRe RL fine-tuning (flarerl).</v>
      </c>
      <c r="M153" s="61" t="str">
        <v>Source-checked world-model README catalogue (2026-09-23) and surgical manuscript context; no new quantitative claim.</v>
      </c>
    </row>
    <row r="154" ht="62" customHeight="1">
      <c r="A154" s="60" t="n">
        <v>146</v>
      </c>
      <c r="B154" s="60" t="n">
        <v>2025</v>
      </c>
      <c r="C154" s="61" t="str">
        <v>Zhang et al., “DreamVLA: A vision-language-action model dreamed with comprehensive world knowledge,” arXiv preprint, 2025, arXiv:2507.04447.</v>
      </c>
      <c r="D154" s="61" t="str">
        <v>DreamVLA forecasts compact dynamic, spatial, and semantic representations. A diffusion-based action generator conditions its manipulation commands on this predicted world information.</v>
      </c>
      <c r="E154" s="63" t="str">
        <v>https://arxiv.org/abs/2507.04447</v>
      </c>
      <c r="F154" s="61" t="str">
        <v>World model/predictive system</v>
      </c>
      <c r="G154" s="61" t="str">
        <v>Paper</v>
      </c>
      <c r="H154" s="62" t="str">
        <v>Pending</v>
      </c>
      <c r="I154" s="62" t="str"/>
      <c r="J154" s="61" t="str">
        <v>arXiv:2507.04447</v>
      </c>
      <c r="K154" s="61" t="str">
        <v>dreamvla</v>
      </c>
      <c r="L154" s="61" t="str"/>
      <c r="M154" s="61" t="str">
        <v>Source-checked world-model README catalogue (2026-09-23) and surgical manuscript context; no new quantitative claim.</v>
      </c>
    </row>
    <row r="155" ht="62" customHeight="1">
      <c r="A155" s="60" t="n">
        <v>147</v>
      </c>
      <c r="B155" s="60" t="n">
        <v>2026</v>
      </c>
      <c r="C155" s="61" t="str">
        <v>M. Han et al., “Beyond dense futures: World models as structured planners for robotic manipulation,” arXiv preprint, 2026, arXiv:2603.12553.</v>
      </c>
      <c r="D155" s="61" t="str">
        <v>StructVLA first trains a generative model to predict sparse visual milestones from instructions and observation history. A second training stage adapts that model to action-token prediction conditioned on instructions and interleaved observation–action history.</v>
      </c>
      <c r="E155" s="63" t="str">
        <v>https://arxiv.org/abs/2603.12553</v>
      </c>
      <c r="F155" s="61" t="str">
        <v>World model/predictive system</v>
      </c>
      <c r="G155" s="61" t="str">
        <v>Paper</v>
      </c>
      <c r="H155" s="62" t="str">
        <v>Pending</v>
      </c>
      <c r="I155" s="62" t="str"/>
      <c r="J155" s="61" t="str">
        <v>arXiv:2603.12553</v>
      </c>
      <c r="K155" s="61" t="str">
        <v>structvla</v>
      </c>
      <c r="L155" s="61" t="str"/>
      <c r="M155" s="61" t="str">
        <v>Source-checked world-model README catalogue (2026-09-23) and surgical manuscript context; no new quantitative claim.</v>
      </c>
    </row>
    <row r="156" ht="62" customHeight="1">
      <c r="A156" s="60" t="n">
        <v>148</v>
      </c>
      <c r="B156" s="60" t="n">
        <v>2025</v>
      </c>
      <c r="C156" s="61" t="str">
        <v>U. Robotics, “UnifoLM-WMA-0: An open-source world-modelaction architecture for humanoid robots,” Unitree open-source release, 2025.</v>
      </c>
      <c r="D156" s="61" t="str">
        <v>UnifoLM-WMA-0 is Unitree's released framework connecting predictive video dynamics with policy enhancement and learned simulation. The cited source is an official technical release rather than a separately identified peer-reviewed paper.</v>
      </c>
      <c r="E156" s="63" t="str">
        <v>https://github.com/unitreerobotics/unifolm-world-model-action</v>
      </c>
      <c r="F156" s="61" t="str">
        <v>Vendor technical release</v>
      </c>
      <c r="G156" s="61" t="str">
        <v>Technical release / software</v>
      </c>
      <c r="H156" s="62" t="str">
        <v>Pending</v>
      </c>
      <c r="I156" s="62" t="str"/>
      <c r="J156" s="61" t="str">
        <v>https://github.com/unitreerobotics/unifolm-world-model-action</v>
      </c>
      <c r="K156" s="61" t="str">
        <v>unifolm</v>
      </c>
      <c r="L156" s="61" t="str">
        <v>Cited Unitree software/model release; no formal paper identified in current citation.</v>
      </c>
      <c r="M156" s="61" t="str">
        <v>Source-checked world-model README catalogue (2026-09-23) and surgical manuscript context; no new quantitative claim.</v>
      </c>
    </row>
    <row r="157" ht="62" customHeight="1">
      <c r="A157" s="60" t="n">
        <v>149</v>
      </c>
      <c r="B157" s="60" t="n">
        <v>2026</v>
      </c>
      <c r="C157" s="61" t="str">
        <v>Q. Feng, J. Yu, J. Liu, Y. Jia, Z. Wu, H. Chen, Z. Qian, S. Gu, P. Jia, S. Ma et al., “HarmoWAM: Harmonizing generalizable and precise manipulation via adaptive world action models,” arXiv preprint, 2026, arXiv:2605.10942.</v>
      </c>
      <c r="D157" s="61" t="str">
        <v>HarmoWAM combines predictive and reactive action experts through adaptive gating. This architecture aims to balance generalization with precise manipulation control.</v>
      </c>
      <c r="E157" s="63" t="str">
        <v>https://arxiv.org/abs/2605.10942</v>
      </c>
      <c r="F157" s="61" t="str">
        <v>World model/predictive system</v>
      </c>
      <c r="G157" s="61" t="str">
        <v>Paper</v>
      </c>
      <c r="H157" s="62" t="str">
        <v>Pending</v>
      </c>
      <c r="I157" s="62" t="str"/>
      <c r="J157" s="61" t="str">
        <v>arXiv:2605.10942</v>
      </c>
      <c r="K157" s="61" t="str">
        <v>harmowam</v>
      </c>
      <c r="L157" s="61" t="str"/>
      <c r="M157" s="61" t="str">
        <v>Source-checked world-model README catalogue (2026-09-23) and surgical manuscript context; no new quantitative claim.</v>
      </c>
    </row>
    <row r="158" ht="70" customHeight="1">
      <c r="A158" s="60" t="n">
        <v>150</v>
      </c>
      <c r="B158" s="60" t="n">
        <v>2023</v>
      </c>
      <c r="C158" s="61" t="str">
        <v>B. Liu, Y. Zhu, C. Gao, Y. Feng, Q. Liu, Y. Zhu, and P. Stone, “LIBERO: Benchmarking knowledge transfer for lifelong robot learning,” in Adv. Neural Inf. Process. Syst. (NeurIPS) Datasets and Benchmarks Track, 2023, arXiv:2306.03310.</v>
      </c>
      <c r="D158" s="61" t="str">
        <v>LIBERO provides simulated manipulation tasks and demonstrations for studying knowledge transfer in lifelong robot learning. Its task suites examine different transfer settings, policy designs, and effects of sequential learning.</v>
      </c>
      <c r="E158" s="63" t="str">
        <v>https://arxiv.org/abs/2306.03310</v>
      </c>
      <c r="F158" s="61" t="str">
        <v>Dataset/benchmark</v>
      </c>
      <c r="G158" s="61" t="str">
        <v>Paper</v>
      </c>
      <c r="H158" s="62" t="str">
        <v>Pending</v>
      </c>
      <c r="I158" s="62" t="str"/>
      <c r="J158" s="61" t="str">
        <v>arXiv:2306.03310</v>
      </c>
      <c r="K158" s="61" t="str">
        <v>liu2023libero</v>
      </c>
      <c r="L158" s="61" t="str"/>
      <c r="M158" s="61" t="str">
        <v>Primary-source abstract or official release checked online on 2026-09-24; manuscript context used to identify the cited role.</v>
      </c>
    </row>
    <row r="159" ht="70" customHeight="1">
      <c r="A159" s="60" t="n">
        <v>151</v>
      </c>
      <c r="B159" s="60" t="n">
        <v>2022</v>
      </c>
      <c r="C159" s="61" t="str">
        <v>O. Mees, L. Hermann, E. Rosete-Beas, and W. Burgard, “CALVIN: A benchmark for language-conditioned policy learning for long-horizon robot manipulation tasks,” IEEE Robot. Autom. Lett., vol. 7, no. 3, pp. 7327–7334, 2022, arXiv:2112.03227.</v>
      </c>
      <c r="D159" s="61" t="str">
        <v>CALVIN evaluates language-conditioned policies on sequences of manipulation tasks in simulation. It emphasizes long-horizon execution and transfer to unfamiliar instructions, objects, and environments.</v>
      </c>
      <c r="E159" s="63" t="str">
        <v>https://arxiv.org/abs/2112.03227</v>
      </c>
      <c r="F159" s="61" t="str">
        <v>Dataset/benchmark</v>
      </c>
      <c r="G159" s="61" t="str">
        <v>Paper</v>
      </c>
      <c r="H159" s="62" t="str">
        <v>Pending</v>
      </c>
      <c r="I159" s="62" t="str"/>
      <c r="J159" s="61" t="str">
        <v>arXiv:2112.03227</v>
      </c>
      <c r="K159" s="61" t="str">
        <v>calvin</v>
      </c>
      <c r="L159" s="61" t="str"/>
      <c r="M159" s="61" t="str">
        <v>Primary-source abstract or official release checked online on 2026-09-24; manuscript context used to identify the cited role.</v>
      </c>
    </row>
    <row r="160" ht="62" customHeight="1">
      <c r="A160" s="60" t="n">
        <v>152</v>
      </c>
      <c r="B160" s="60" t="n">
        <v>2020</v>
      </c>
      <c r="C160" s="61" t="str">
        <v>S. James, Z. Ma, D. R. Arrojo, and A. J. Davison, “RLBench: The robot learning benchmark &amp; learning environment,” IEEE Robot. Autom. Lett., vol. 5, no. 2, pp. 3019–3026, 2020.</v>
      </c>
      <c r="D160" s="61" t="str">
        <v>RLBench provides diverse simulated manipulation tasks, visual and proprioceptive observations, and motion-planned demonstrations. It supports research on imitation, reinforcement, multi-task, and few-shot robot learning.</v>
      </c>
      <c r="E160" s="63" t="str">
        <v>https://arxiv.org/abs/1909.12271</v>
      </c>
      <c r="F160" s="61" t="str">
        <v>Dataset/benchmark</v>
      </c>
      <c r="G160" s="61" t="str">
        <v>Paper</v>
      </c>
      <c r="H160" s="62" t="str">
        <v>Pending</v>
      </c>
      <c r="I160" s="62" t="str"/>
      <c r="J160" s="61" t="str">
        <v>arXiv:1909.12271</v>
      </c>
      <c r="K160" s="61" t="str">
        <v>rlbench</v>
      </c>
      <c r="L160" s="61" t="str"/>
      <c r="M160" s="61" t="str">
        <v>Primary-source abstract or official release checked online on 2026-09-24; manuscript context used to identify the cited role.</v>
      </c>
    </row>
    <row r="161" ht="70" customHeight="1">
      <c r="A161" s="60" t="n">
        <v>153</v>
      </c>
      <c r="B161" s="60" t="n">
        <v>2024</v>
      </c>
      <c r="C161" s="61" t="str">
        <v>S. Tao, F. Xiang, A. Shukla, Y. Qin, X. Hinrichsen, X. Yuan, C. Bao, X. Lin, Y. Liu, T. kai Chan et al., “ManiSkill3: GPU parallelized robotics simulation and rendering for generalizable embodied AI,” arXiv preprint, 2024, arXiv:2410.00425.</v>
      </c>
      <c r="D161" s="61" t="str">
        <v>ManiSkill3 provides GPU-parallelized robotics simulation and rendering for learning manipulation policies. It includes diverse environments, demonstration data, and training baselines to support scalable robot-learning experiments.</v>
      </c>
      <c r="E161" s="63" t="str">
        <v>https://arxiv.org/abs/2410.00425</v>
      </c>
      <c r="F161" s="61" t="str">
        <v>Dataset/benchmark</v>
      </c>
      <c r="G161" s="61" t="str">
        <v>Paper</v>
      </c>
      <c r="H161" s="62" t="str">
        <v>Pending</v>
      </c>
      <c r="I161" s="62" t="str"/>
      <c r="J161" s="61" t="str">
        <v>arXiv:2410.00425</v>
      </c>
      <c r="K161" s="61" t="str">
        <v>maniskill3</v>
      </c>
      <c r="L161" s="61" t="str">
        <v>Simulator/software platform paper grouped with benchmark/evaluation sources.</v>
      </c>
      <c r="M161" s="61" t="str">
        <v>Primary-source abstract or official release checked online on 2026-09-24; manuscript context used to identify the cited role.</v>
      </c>
    </row>
    <row r="162" ht="62" customHeight="1">
      <c r="A162" s="60" t="n">
        <v>154</v>
      </c>
      <c r="B162" s="60" t="n">
        <v>2024</v>
      </c>
      <c r="C162" s="61" t="str">
        <v>S. Nasiriany, A. Maddukuri, L. Zhang, A. Parikh, A. Lo, A. Joshi, A. Mandlekar, and Y. Zhu, “RoboCasa: Large-scale simulation of everyday tasks for generalist robots,” in Proc. Robot.: Sci. Syst. (RSS), 2024.</v>
      </c>
      <c r="D162" s="61" t="str">
        <v>RoboCasa provides diverse simulated everyday environments, with a focus on kitchen manipulation tasks. It combines task definitions, human demonstrations, and automated trajectory generation for training and evaluating generalist robots.</v>
      </c>
      <c r="E162" s="63" t="str">
        <v>https://arxiv.org/abs/2406.02523</v>
      </c>
      <c r="F162" s="61" t="str">
        <v>Dataset/benchmark</v>
      </c>
      <c r="G162" s="61" t="str">
        <v>Paper</v>
      </c>
      <c r="H162" s="62" t="str">
        <v>Pending</v>
      </c>
      <c r="I162" s="62" t="str"/>
      <c r="J162" s="61" t="str">
        <v>arXiv:2406.02523</v>
      </c>
      <c r="K162" s="61" t="str">
        <v>robocasa</v>
      </c>
      <c r="L162" s="61" t="str">
        <v>Simulation-platform/task-generation research paper grouped with benchmark/evaluation sources.</v>
      </c>
      <c r="M162" s="61" t="str">
        <v>Primary-source abstract or official release checked online on 2026-09-24; manuscript context used to identify the cited role.</v>
      </c>
    </row>
    <row r="163" ht="62" customHeight="1">
      <c r="A163" s="60" t="n">
        <v>155</v>
      </c>
      <c r="B163" s="60" t="n">
        <v>2019</v>
      </c>
      <c r="C163" s="61" t="str">
        <v>T. Yu, D. Quillen, Z. He, R. Julian, K. Hausman, C. Finn, and S. Levine, “Meta-world: A benchmark and evaluation for multi-task and meta reinforcement learning,” in Proc. Conf. Robot Learn. (CoRL), 2019.</v>
      </c>
      <c r="D163" s="61" t="str">
        <v>Meta-World provides a collection of simulated manipulation tasks for multi-task and meta-reinforcement learning. It enables evaluation of shared learning across tasks and adaptation to new task instances.</v>
      </c>
      <c r="E163" s="63" t="str">
        <v>https://arxiv.org/abs/1910.10897</v>
      </c>
      <c r="F163" s="61" t="str">
        <v>Dataset/benchmark</v>
      </c>
      <c r="G163" s="61" t="str">
        <v>Paper</v>
      </c>
      <c r="H163" s="62" t="str">
        <v>Pending</v>
      </c>
      <c r="I163" s="62" t="str"/>
      <c r="J163" s="61" t="str">
        <v>arXiv:1910.10897</v>
      </c>
      <c r="K163" s="61" t="str">
        <v>metaworld</v>
      </c>
      <c r="L163" s="61" t="str"/>
      <c r="M163" s="61" t="str">
        <v>Primary-source abstract or official release checked online on 2026-09-24; manuscript context used to identify the cited role.</v>
      </c>
    </row>
    <row r="164" ht="70" customHeight="1">
      <c r="A164" s="60" t="n">
        <v>156</v>
      </c>
      <c r="B164" s="60" t="n">
        <v>2024</v>
      </c>
      <c r="C164" s="61" t="str">
        <v>S. Zhang, Z. Xu, P. Liu, X. Yu, Y. Li, Q. Gao, Z. Fei, Z. Yin, Z. Wu, Y.-G. Jiang, and X. Qiu, “VLABench: A large-scale benchmark for languageconditioned robotics manipulation with long-horizon reasoning tasks,” arXiv preprint, 2024, arXiv:2412.18194.</v>
      </c>
      <c r="D164" s="61" t="str">
        <v>VLABench evaluates language-conditioned manipulation with randomized tasks, implicit intentions, and multi-step reasoning requirements. It assesses action policies and language-based capabilities while providing data for downstream training.</v>
      </c>
      <c r="E164" s="63" t="str">
        <v>https://arxiv.org/abs/2412.18194</v>
      </c>
      <c r="F164" s="61" t="str">
        <v>Dataset/benchmark</v>
      </c>
      <c r="G164" s="61" t="str">
        <v>Paper</v>
      </c>
      <c r="H164" s="62" t="str">
        <v>Pending</v>
      </c>
      <c r="I164" s="62" t="str"/>
      <c r="J164" s="61" t="str">
        <v>arXiv:2412.18194</v>
      </c>
      <c r="K164" s="61" t="str">
        <v>vlabench</v>
      </c>
      <c r="L164" s="61" t="str"/>
      <c r="M164" s="61" t="str">
        <v>Primary-source abstract or official release checked online on 2026-09-24; manuscript context used to identify the cited role.</v>
      </c>
    </row>
    <row r="165" ht="62" customHeight="1">
      <c r="A165" s="60" t="n">
        <v>157</v>
      </c>
      <c r="B165" s="60" t="n">
        <v>2024</v>
      </c>
      <c r="C165" s="61" t="str">
        <v>W. Pumacay, I. Singh, J. Duan, R. Krishna, J. Thomason, and D. Fox, “THE COLOSSEUM: A benchmark for evaluating generalization for robotic manipulation,” in Robotics: Science and Systems (RSS), 2024, arXiv:2402.08191.</v>
      </c>
      <c r="D165" s="61" t="str">
        <v>THE COLOSSEUM evaluates manipulation-policy generalization through systematic changes to task and environment conditions. It tests robustness beyond performance in an unchanged benchmark setting.</v>
      </c>
      <c r="E165" s="63" t="str">
        <v>https://arxiv.org/abs/2402.08191</v>
      </c>
      <c r="F165" s="61" t="str">
        <v>Dataset/benchmark</v>
      </c>
      <c r="G165" s="61" t="str">
        <v>Paper</v>
      </c>
      <c r="H165" s="62" t="str">
        <v>Pending</v>
      </c>
      <c r="I165" s="62" t="str"/>
      <c r="J165" s="61" t="str">
        <v>arXiv:2402.08191</v>
      </c>
      <c r="K165" s="61" t="str">
        <v>colosseum</v>
      </c>
      <c r="L165" s="61" t="str"/>
      <c r="M165" s="61" t="str">
        <v>Supported by the surgical manuscript discussion and earlier primary-source review notes; qualitative scope retained without new performance claims.</v>
      </c>
    </row>
    <row r="166" ht="62" customHeight="1">
      <c r="A166" s="60" t="n">
        <v>158</v>
      </c>
      <c r="B166" s="60" t="n">
        <v>2023</v>
      </c>
      <c r="C166" s="61" t="str">
        <v>M. Heo, Y. Lee, D. Lee, and J. J. Lim, “FurnitureBench: Reproducible real-world benchmark for long-horizon complex manipulation,” in Robotics: Science and Systems (RSS), 2023, arXiv:2305.12821.</v>
      </c>
      <c r="D166" s="61" t="str">
        <v>FurnitureBench provides a reproducible physical benchmark for long-horizon furniture assembly. It includes demonstration data, standardized setup resources, and a corresponding simulator for studying manipulation learning.</v>
      </c>
      <c r="E166" s="63" t="str">
        <v>https://arxiv.org/abs/2305.12821</v>
      </c>
      <c r="F166" s="61" t="str">
        <v>Dataset/benchmark</v>
      </c>
      <c r="G166" s="61" t="str">
        <v>Paper</v>
      </c>
      <c r="H166" s="62" t="str">
        <v>Pending</v>
      </c>
      <c r="I166" s="62" t="str"/>
      <c r="J166" s="61" t="str">
        <v>arXiv:2305.12821</v>
      </c>
      <c r="K166" s="61" t="str">
        <v>furniturebench</v>
      </c>
      <c r="L166" s="61" t="str"/>
      <c r="M166" s="61" t="str">
        <v>Primary-source abstract or official release checked online on 2026-09-24; manuscript context used to identify the cited role.</v>
      </c>
    </row>
    <row r="167" ht="70" customHeight="1">
      <c r="A167" s="60" t="n">
        <v>159</v>
      </c>
      <c r="B167" s="60" t="n">
        <v>2024</v>
      </c>
      <c r="C167" s="61" t="str">
        <v>C. Li, R. Zhang, J. Wong, C. Gokmen, S. Srivastava, R. Martín-Martín, C. Wang, G. Levine et al., “BEHAVIOR-1K: A human-centered, embodied AI benchmark with 1,000 everyday activities and realistic simulation,” arXiv preprint, 2024, arXiv:2403.09227.</v>
      </c>
      <c r="D167" s="61" t="str">
        <v>BEHAVIOR-1K defines everyday household activities and supports them through the OmniGibson simulation environment. Its evaluation emphasizes long-horizon behavior and complex interaction with diverse objects and physical materials.</v>
      </c>
      <c r="E167" s="63" t="str">
        <v>https://arxiv.org/abs/2403.09227</v>
      </c>
      <c r="F167" s="61" t="str">
        <v>Dataset/benchmark</v>
      </c>
      <c r="G167" s="61" t="str">
        <v>Paper</v>
      </c>
      <c r="H167" s="62" t="str">
        <v>Pending</v>
      </c>
      <c r="I167" s="62" t="str"/>
      <c r="J167" s="61" t="str">
        <v>arXiv:2403.09227</v>
      </c>
      <c r="K167" s="61" t="str">
        <v>behavior1k</v>
      </c>
      <c r="L167" s="61" t="str"/>
      <c r="M167" s="61" t="str">
        <v>Primary-source abstract or official release checked online on 2026-09-24; manuscript context used to identify the cited role.</v>
      </c>
    </row>
    <row r="168" ht="70" customHeight="1">
      <c r="A168" s="60" t="n">
        <v>160</v>
      </c>
      <c r="B168" s="60" t="n">
        <v>2025</v>
      </c>
      <c r="C168" s="61" t="str">
        <v>P. Atreya, K. Pertsch, T. Lee, M. J. Kim, A. Jain, A. Kuramshin, C. Eppner, C. Neary, E. Hu, F. Ramos et al., “RoboArena: Distributed real-world evaluation of generalist robot policies,” in Conference on Robot Learning (CoRL), PMLR vol. 305, 2025, arXiv:2506.18123.</v>
      </c>
      <c r="D168" s="61" t="str">
        <v>RoboArena distributes real-robot evaluation across multiple evaluators, who compare pairs of policies under shared local conditions. Aggregated preference feedback supports policy comparison across varied tasks and environments.</v>
      </c>
      <c r="E168" s="63" t="str">
        <v>https://arxiv.org/abs/2506.18123</v>
      </c>
      <c r="F168" s="61" t="str">
        <v>Dataset/benchmark</v>
      </c>
      <c r="G168" s="61" t="str">
        <v>Paper</v>
      </c>
      <c r="H168" s="62" t="str">
        <v>Pending</v>
      </c>
      <c r="I168" s="62" t="str"/>
      <c r="J168" s="61" t="str">
        <v>arXiv:2506.18123</v>
      </c>
      <c r="K168" s="61" t="str">
        <v>roboarena</v>
      </c>
      <c r="L168" s="61" t="str"/>
      <c r="M168" s="61" t="str">
        <v>Primary-source abstract or official release checked online on 2026-09-24; manuscript context used to identify the cited role.</v>
      </c>
    </row>
    <row r="169" ht="62" customHeight="1">
      <c r="A169" s="60" t="n">
        <v>161</v>
      </c>
      <c r="B169" s="60" t="n">
        <v>2023</v>
      </c>
      <c r="C169" s="61" t="str">
        <v>H. Walke, K. Black, A. Lee, M. J. Kim, M. Du, C. Zheng, T. Zhao, P. Hansen-Estruch, Q. Vuong, A. He et al., “BridgeData V2: A dataset for robot learning at scale,” in Proc. Conf. Robot Learn. (CoRL), 2023.</v>
      </c>
      <c r="D169" s="61" t="str">
        <v>BridgeData V2 provides diverse real-robot manipulation trajectories for scalable robot learning. It supports studying how training across tasks and environments affects policy generalization.</v>
      </c>
      <c r="E169" s="63" t="str">
        <v>https://arxiv.org/abs/2308.12952</v>
      </c>
      <c r="F169" s="61" t="str">
        <v>Dataset/benchmark</v>
      </c>
      <c r="G169" s="61" t="str">
        <v>Paper</v>
      </c>
      <c r="H169" s="62" t="str">
        <v>Pending</v>
      </c>
      <c r="I169" s="62" t="str"/>
      <c r="J169" s="61" t="str">
        <v>arXiv:2308.12952</v>
      </c>
      <c r="K169" s="61" t="str">
        <v>bridgedata</v>
      </c>
      <c r="L169" s="61" t="str"/>
      <c r="M169" s="61" t="str">
        <v>Primary-source abstract or official release checked online on 2026-09-24; manuscript context used to identify the cited role.</v>
      </c>
    </row>
    <row r="170" ht="62" customHeight="1">
      <c r="A170" s="60" t="n">
        <v>162</v>
      </c>
      <c r="B170" s="60" t="n">
        <v>2025</v>
      </c>
      <c r="C170" s="61" t="str">
        <v>AgiBot-World Contributors, “AgiBot World Colosseo: A large-scale manipulation platform for scalable and intelligent embodied systems,” arXiv preprint, 2025, arXiv:2503.06669.</v>
      </c>
      <c r="D170" s="61" t="str">
        <v>AgiBot World combines a standardized robot-data collection platform with diverse manipulation trajectories. Its accompanying policy experiments study how data scale and coverage affect generalist robot learning.</v>
      </c>
      <c r="E170" s="63" t="str">
        <v>https://arxiv.org/abs/2503.06669</v>
      </c>
      <c r="F170" s="61" t="str">
        <v>Dataset/benchmark</v>
      </c>
      <c r="G170" s="61" t="str">
        <v>Paper</v>
      </c>
      <c r="H170" s="62" t="str">
        <v>Pending</v>
      </c>
      <c r="I170" s="62" t="str"/>
      <c r="J170" s="61" t="str">
        <v>arXiv:2503.06669</v>
      </c>
      <c r="K170" s="61" t="str">
        <v>agibotworld</v>
      </c>
      <c r="L170" s="61" t="str">
        <v>Hybrid dataset/platform/system report; category is functional, not exclusion from research.</v>
      </c>
      <c r="M170" s="61" t="str">
        <v>Primary-source abstract or official release checked online on 2026-09-24; manuscript context used to identify the cited role.</v>
      </c>
    </row>
    <row r="171" ht="70" customHeight="1">
      <c r="A171" s="60" t="n">
        <v>163</v>
      </c>
      <c r="B171" s="60" t="n">
        <v>2024</v>
      </c>
      <c r="C171" s="61" t="str">
        <v>H.-S. Fang, H. Fang, Z. Tang, J. Liu, C. Wang, J. Wang, H. Zhu, and C. Lu, “RH20T: A comprehensive robotic dataset for learning diverse skills in one-shot,” in IEEE International Conference on Robotics and Automation (ICRA), 2024, arXiv:2307.00595.</v>
      </c>
      <c r="D171" s="61" t="str">
        <v>RH20T records contact-rich real-world manipulation with visual, force, audio, and action information. Corresponding human demonstration videos and language descriptions support research on learning varied skills from demonstrations.</v>
      </c>
      <c r="E171" s="63" t="str">
        <v>https://arxiv.org/abs/2307.00595</v>
      </c>
      <c r="F171" s="61" t="str">
        <v>Dataset/benchmark</v>
      </c>
      <c r="G171" s="61" t="str">
        <v>Paper</v>
      </c>
      <c r="H171" s="62" t="str">
        <v>Pending</v>
      </c>
      <c r="I171" s="62" t="str"/>
      <c r="J171" s="61" t="str">
        <v>arXiv:2307.00595</v>
      </c>
      <c r="K171" s="61" t="str">
        <v>rh20t</v>
      </c>
      <c r="L171" s="61" t="str"/>
      <c r="M171" s="61" t="str">
        <v>Primary-source abstract or official release checked online on 2026-09-24; manuscript context used to identify the cited role.</v>
      </c>
    </row>
    <row r="172" ht="62" customHeight="1">
      <c r="A172" s="60" t="n">
        <v>164</v>
      </c>
      <c r="B172" s="60" t="n">
        <v>2024</v>
      </c>
      <c r="C172" s="61" t="str">
        <v>K. Wu, C. Hou, J. Liu, Z. Che, X. Ju, Z. Yang, M. Li, Y. Zhao et al., “RoboMIND: Benchmark on multi-embodiment intelligence normative data for robot manipulation,” arXiv preprint, 2024, arXiv:2412.13877. [Online]. Available:</v>
      </c>
      <c r="D172" s="61" t="str">
        <v>RoboMIND collects teleoperated manipulation demonstrations across robot embodiments under a standardized protocol. It includes multimodal observations, task descriptions, failure demonstrations, and digital-twin support for training and evaluation.</v>
      </c>
      <c r="E172" s="63" t="str">
        <v>https://arxiv.org/abs/2412.13877</v>
      </c>
      <c r="F172" s="61" t="str">
        <v>Dataset/benchmark</v>
      </c>
      <c r="G172" s="61" t="str">
        <v>Paper</v>
      </c>
      <c r="H172" s="62" t="str">
        <v>Pending</v>
      </c>
      <c r="I172" s="62" t="str"/>
      <c r="J172" s="61" t="str">
        <v>arXiv:2412.13877</v>
      </c>
      <c r="K172" s="61" t="str">
        <v>robomind</v>
      </c>
      <c r="L172" s="61" t="str"/>
      <c r="M172" s="61" t="str">
        <v>Primary-source abstract or official release checked online on 2026-09-24; manuscript context used to identify the cited role.</v>
      </c>
    </row>
    <row r="173" ht="62" customHeight="1">
      <c r="A173" s="60" t="n">
        <v>165</v>
      </c>
      <c r="B173" s="60" t="n">
        <v>2025</v>
      </c>
      <c r="C173" s="61" t="str">
        <v>Y. Hu, S. Huang, Y. Liao, S. Chen, P. Zhou, L. Chen, M. Yao, and G. Ren, “EWMBench: Evaluating Scene, Motion, and Semantic Quality in Embodied World Models,” arXiv preprint arXiv:2505.09694, 2025.</v>
      </c>
      <c r="D173" s="61" t="str">
        <v>EWMBench assesses generated embodied video through scene consistency, motion correctness, and semantic alignment. Its curated data and evaluation tools measure predictive-video quality rather than directly measuring task success with a robot controller.</v>
      </c>
      <c r="E173" s="63" t="str">
        <v>https://arxiv.org/abs/2505.09694</v>
      </c>
      <c r="F173" s="61" t="str">
        <v>Dataset/benchmark</v>
      </c>
      <c r="G173" s="61" t="str">
        <v>Paper</v>
      </c>
      <c r="H173" s="62" t="str">
        <v>Pending</v>
      </c>
      <c r="I173" s="62" t="str"/>
      <c r="J173" s="61" t="str">
        <v>arXiv:2505.09694</v>
      </c>
      <c r="K173" s="61" t="str">
        <v>ewmbench</v>
      </c>
      <c r="L173" s="61" t="str"/>
      <c r="M173" s="61" t="str">
        <v>Primary-source abstract or official release checked online on 2026-09-24; manuscript context used to identify the cited role.</v>
      </c>
    </row>
    <row r="174" ht="85" customHeight="1">
      <c r="A174" s="60" t="n">
        <v>166</v>
      </c>
      <c r="B174" s="60" t="n">
        <v>2026</v>
      </c>
      <c r="C174" s="61" t="str">
        <v>Y. Shang, Z. Li, Y. Ma, W. Su, X. Jin, Z. Wang, L. Jin, X. Zhang, Y. Tang, H. Su, C. Gao, W. Wu, X. Liu, D. Shah, Z. Zhang, Z. Chen, J. Zhu, Y. Tian, T.-S. Chua, W. Zhu, and Y. Li, “WorldArena: A unified benchmark for evaluating perception and functional utility of embodied world models,” arXiv preprint, 2026, arXiv:2602.08971.</v>
      </c>
      <c r="D174" s="61" t="str">
        <v>WorldArena evaluates both perceptual quality and functional uses of embodied world models. Its tests cover data generation, policy evaluation, and action planning, exposing differences between visual fidelity and task usefulness.</v>
      </c>
      <c r="E174" s="63" t="str">
        <v>https://arxiv.org/abs/2602.08971</v>
      </c>
      <c r="F174" s="61" t="str">
        <v>Dataset/benchmark</v>
      </c>
      <c r="G174" s="61" t="str">
        <v>Paper</v>
      </c>
      <c r="H174" s="62" t="str">
        <v>Pending</v>
      </c>
      <c r="I174" s="62" t="str"/>
      <c r="J174" s="61" t="str">
        <v>arXiv:2602.08971</v>
      </c>
      <c r="K174" s="61" t="str">
        <v>worldarena</v>
      </c>
      <c r="L174" s="61" t="str"/>
      <c r="M174" s="61" t="str">
        <v>Primary-source abstract or official release checked online on 2026-09-24; manuscript context used to identify the cited role.</v>
      </c>
    </row>
    <row r="175" ht="85" customHeight="1">
      <c r="A175" s="60" t="n">
        <v>167</v>
      </c>
      <c r="B175" s="60" t="n">
        <v>2026</v>
      </c>
      <c r="C175" s="61" t="str">
        <v>Y. Shang, Y. Tang, Y. Ma, Z. Li, L. Jin, W. Su, X. Jin, Z. Wang, Z. Wang, X. Zhang, H. Su, W. He, W. Wu, H. Duan, G. Wetzstein, X. Liu, D. Shah, Z. Zhang, Z. Chen, J. Zhu, Y. Tian, T.-S. Chua, W. Zhu, C. Gao, and Y. Li, “WorldArena 2.0: Extending embodied world model benchmarking on modality, functionality and platform,” arXiv preprint, 2026, arXiv:2605.17912.</v>
      </c>
      <c r="D175" s="61" t="str">
        <v>WorldArena 2.0 extends world-model evaluation to visuotactile observations, interactive reinforcement-learning environments, and multiple robotic platforms. It assesses prediction and interactive utility across simulated and real-world settings.</v>
      </c>
      <c r="E175" s="63" t="str">
        <v>https://arxiv.org/abs/2605.17912</v>
      </c>
      <c r="F175" s="61" t="str">
        <v>Dataset/benchmark</v>
      </c>
      <c r="G175" s="61" t="str">
        <v>Paper</v>
      </c>
      <c r="H175" s="62" t="str">
        <v>Pending</v>
      </c>
      <c r="I175" s="62" t="str"/>
      <c r="J175" s="61" t="str">
        <v>arXiv:2605.17912</v>
      </c>
      <c r="K175" s="61" t="str">
        <v>shang2026worldarena2</v>
      </c>
      <c r="L175" s="61" t="str"/>
      <c r="M175" s="61" t="str">
        <v>Primary-source abstract or official release checked online on 2026-09-24; manuscript context used to identify the cited role.</v>
      </c>
    </row>
    <row r="176" ht="70" customHeight="1">
      <c r="A176" s="60" t="n">
        <v>168</v>
      </c>
      <c r="B176" s="60" t="n">
        <v>2026</v>
      </c>
      <c r="C176" s="61" t="str">
        <v>Y. Sun, M. Cao, P. Yang, R. Xu, Y. Yan, R. Xu, L. Ma, R. Gan, A. Zhai, Q. Chen, Z. Xu, H. Wang, J. Yu, L. Liang, Q. Wang, I. Laptev, I. D. Reid, and X. Liang, “ManipArena: Comprehensive real-world evaluation of reasoning-oriented generalist robot manipulation,” arXiv preprint, 2026, arXiv:2603.28545.</v>
      </c>
      <c r="D176" s="61" t="str">
        <v>ManipArena provides standardized physical manipulation evaluation with structured task variation and paired real-to-simulation environments. It compares generalist policy configurations while tracking generalization and subtask-level performance.</v>
      </c>
      <c r="E176" s="63" t="str">
        <v>https://arxiv.org/abs/2603.28545</v>
      </c>
      <c r="F176" s="61" t="str">
        <v>Dataset/benchmark</v>
      </c>
      <c r="G176" s="61" t="str">
        <v>Paper</v>
      </c>
      <c r="H176" s="62" t="str">
        <v>Pending</v>
      </c>
      <c r="I176" s="62" t="str"/>
      <c r="J176" s="61" t="str">
        <v>arXiv:2603.28545</v>
      </c>
      <c r="K176" s="61" t="str">
        <v>maniparena</v>
      </c>
      <c r="L176" s="61" t="str"/>
      <c r="M176" s="61" t="str">
        <v>Primary-source abstract or official release checked online on 2026-09-24; manuscript context used to identify the cited role.</v>
      </c>
    </row>
    <row r="177" ht="62" customHeight="1">
      <c r="A177" s="60" t="n">
        <v>169</v>
      </c>
      <c r="B177" s="60" t="n">
        <v>2025</v>
      </c>
      <c r="C177" s="61" t="str">
        <v>Shi et al., “MemoryVLA: Perceptual-cognitive memory in vision-language-action models for robotic manipulation,” arXiv preprint, 2025, arXiv:2508.19236.</v>
      </c>
      <c r="D177" s="61" t="str">
        <v>MemoryVLA combines perceptual and semantic memory retrieval with a memory-conditioned diffusion action expert. It supplies temporal context for manipulation decisions that cannot be resolved reliably from the current observation alone.</v>
      </c>
      <c r="E177" s="63" t="str">
        <v>https://arxiv.org/abs/2508.19236</v>
      </c>
      <c r="F177" s="61" t="str">
        <v>VLA/action policy</v>
      </c>
      <c r="G177" s="61" t="str">
        <v>Paper</v>
      </c>
      <c r="H177" s="62" t="str">
        <v>Pending</v>
      </c>
      <c r="I177" s="62" t="str"/>
      <c r="J177" s="61" t="str">
        <v>arXiv:2508.19236</v>
      </c>
      <c r="K177" s="61" t="str">
        <v>memoryvla</v>
      </c>
      <c r="L177" s="61" t="str"/>
      <c r="M177" s="61" t="str">
        <v>Source-checked VLA/action-policy README catalogue (2026-09-23) and surgical manuscript context; no new quantitative claim.</v>
      </c>
    </row>
    <row r="178" ht="62" customHeight="1">
      <c r="A178" s="60" t="n">
        <v>170</v>
      </c>
      <c r="B178" s="60" t="n">
        <v>2025</v>
      </c>
      <c r="C178" s="61" t="str">
        <v>Yu et al., “ForceVLA: Enhancing VLA models with a force-aware MoE for contact-rich manipulation,” arXiv preprint, 2025, arXiv:2505.22159.</v>
      </c>
      <c r="D178" s="61" t="str">
        <v>ForceVLA integrates force-torque feedback with vision-language features through a force-aware mixture-of-experts module. It targets contact-rich manipulation where visual information alone may be insufficient.</v>
      </c>
      <c r="E178" s="63" t="str">
        <v>https://arxiv.org/abs/2505.22159</v>
      </c>
      <c r="F178" s="61" t="str">
        <v>VLA/action policy</v>
      </c>
      <c r="G178" s="61" t="str">
        <v>Paper</v>
      </c>
      <c r="H178" s="62" t="str">
        <v>Pending</v>
      </c>
      <c r="I178" s="62" t="str"/>
      <c r="J178" s="61" t="str">
        <v>arXiv:2505.22159</v>
      </c>
      <c r="K178" s="61" t="str">
        <v>forcevla</v>
      </c>
      <c r="L178" s="61" t="str"/>
      <c r="M178" s="61" t="str">
        <v>Source-checked VLA/action-policy README catalogue (2026-09-23) and surgical manuscript context; no new quantitative claim.</v>
      </c>
    </row>
    <row r="179" ht="62" customHeight="1">
      <c r="A179" s="60" t="n">
        <v>171</v>
      </c>
      <c r="B179" s="60" t="n">
        <v>2025</v>
      </c>
      <c r="C179" s="61" t="str">
        <v>Huang et al., “Tactile-VLA: Unlocking vision-language-action model’s physical knowledge for tactile generalization,” arXiv preprint, 2025, arXiv:2507.09160.</v>
      </c>
      <c r="D179" s="61" t="str">
        <v>Tactile-VLA combines tactile feedback and multimodal reasoning with a hybrid position-force controller. It connects contact sensing to robot action selection for physical interaction.</v>
      </c>
      <c r="E179" s="63" t="str">
        <v>https://arxiv.org/abs/2507.09160</v>
      </c>
      <c r="F179" s="61" t="str">
        <v>VLA/action policy</v>
      </c>
      <c r="G179" s="61" t="str">
        <v>Paper</v>
      </c>
      <c r="H179" s="62" t="str">
        <v>Pending</v>
      </c>
      <c r="I179" s="62" t="str"/>
      <c r="J179" s="61" t="str">
        <v>arXiv:2507.09160</v>
      </c>
      <c r="K179" s="61" t="str">
        <v>tactilevla</v>
      </c>
      <c r="L179" s="61" t="str"/>
      <c r="M179" s="61" t="str">
        <v>Source-checked VLA/action-policy README catalogue (2026-09-23) and surgical manuscript context; no new quantitative claim.</v>
      </c>
    </row>
    <row r="180" ht="62" customHeight="1">
      <c r="A180" s="60" t="n">
        <v>172</v>
      </c>
      <c r="B180" s="60" t="n">
        <v>2024</v>
      </c>
      <c r="C180" s="61" t="str">
        <v>I. Shumailov, Z. Shumaylov, Y. Zhao, N. Papernot, R. Anderson, and Y. Gal, “AI models collapse when trained on recursively generated data,” Nature, vol. 631, pp. 755–759, 2024.</v>
      </c>
      <c r="D180" s="61" t="str">
        <v>This study examines degradation when generative models are repeatedly trained on outputs from previous model generations. Its analysis motivates care in the recursive use of synthetic training data, including preservation of the original data distribution.</v>
      </c>
      <c r="E180" s="63" t="str">
        <v>https://www.nature.com/articles/s41586-024-07566-y</v>
      </c>
      <c r="F180" s="61" t="str">
        <v>Methodology</v>
      </c>
      <c r="G180" s="61" t="str">
        <v>Paper</v>
      </c>
      <c r="H180" s="62" t="str">
        <v>Pending</v>
      </c>
      <c r="I180" s="62" t="str"/>
      <c r="J180" s="61" t="str">
        <v>https://www.nature.com/articles/s41586-024-07566-y</v>
      </c>
      <c r="K180" s="61" t="str">
        <v>modelcollapse</v>
      </c>
      <c r="L180" s="61" t="str"/>
      <c r="M180" s="61" t="str">
        <v>Primary-source abstract or official release checked online on 2026-09-24; manuscript context used to identify the cited role.</v>
      </c>
    </row>
    <row r="181" ht="62" customHeight="1">
      <c r="A181" s="60" t="n">
        <v>173</v>
      </c>
      <c r="B181" s="60" t="n">
        <v>2026</v>
      </c>
      <c r="C181" s="61" t="str">
        <v>A. I. for AI, “VLA evaluation harness,” Open-source software, v0.4.0, 2026.</v>
      </c>
      <c r="D181" s="61" t="str">
        <v>The VLA Evaluation Harness provides a common framework for running robot-policy evaluations across simulation benchmarks. Its versioned implementation separates model servers from benchmark clients and records reproducible evaluation configurations.</v>
      </c>
      <c r="E181" s="63" t="str">
        <v>https://github.com/allenai/vla-evaluation-harness/tree/v0.4.0</v>
      </c>
      <c r="F181" s="61" t="str">
        <v>Software</v>
      </c>
      <c r="G181" s="61" t="str">
        <v>Technical release / software</v>
      </c>
      <c r="H181" s="62" t="str">
        <v>Pending</v>
      </c>
      <c r="I181" s="62" t="str"/>
      <c r="J181" s="61" t="str">
        <v>https://github.com/allenai/vla-evaluation-harness/tree/v0.4.0</v>
      </c>
      <c r="K181" s="61" t="str">
        <v>vlaharness</v>
      </c>
      <c r="L181" s="61" t="str">
        <v>Cited software version0.4.0; no formal paper is identified in current citation.</v>
      </c>
      <c r="M181" s="61" t="str">
        <v>Official GitHub README at the cited v0.4.0 tag checked on 2026-09-24; software functionality summarized without peer-review or inclusion claims.</v>
      </c>
    </row>
    <row r="182" ht="85" customHeight="1">
      <c r="A182" s="60" t="n">
        <v>174</v>
      </c>
      <c r="B182" s="60" t="n">
        <v>2026</v>
      </c>
      <c r="C182" s="61" t="str">
        <v>R. Cadene, S. Aliberts, F. Capuano, M. Aractingi, A. Zouitine, P. Kooijmans, J. Choghari, M. Russi, C. Pascal, S. Palma, M. Shukor, J. Moss, A. Soare, D. Aubakirova, Q. Lhoest, Q. Gallouédec, and T. Wolf, “LeRobot: An open-source library for end-to-end robot learning,” arXiv preprint, 2026, arXiv:2602.22818.</v>
      </c>
      <c r="D182" s="61" t="str">
        <v>LeRobot integrates hardware communication, data collection and storage, policy training, and inference within an open robot-learning library. It supports accessible real-world hardware and extensible implementations of learning-based control methods.</v>
      </c>
      <c r="E182" s="63" t="str">
        <v>https://arxiv.org/abs/2602.22818</v>
      </c>
      <c r="F182" s="61" t="str">
        <v>Software</v>
      </c>
      <c r="G182" s="61" t="str">
        <v>Paper</v>
      </c>
      <c r="H182" s="62" t="str">
        <v>Pending</v>
      </c>
      <c r="I182" s="62" t="str"/>
      <c r="J182" s="61" t="str">
        <v>arXiv:2602.22818</v>
      </c>
      <c r="K182" s="61" t="str">
        <v>cadene2026lerobot</v>
      </c>
      <c r="L182" s="61" t="str">
        <v>Formal software/library paper; distinct from a standalone repository release.</v>
      </c>
      <c r="M182" s="61" t="str">
        <v>Primary-source abstract or official release checked online on 2026-09-24; manuscript context used to identify the cited role.</v>
      </c>
    </row>
    <row r="183" ht="70" customHeight="1">
      <c r="A183" s="60" t="n">
        <v>175</v>
      </c>
      <c r="B183" s="60" t="n">
        <v>2022</v>
      </c>
      <c r="C183" s="61" t="str">
        <v>K. Grauman, A. Westbury, E. Byrne, Z. Chavis, A. Furnari, R. Girdhar, J. Hamburger et al., “Ego4D: Around the World in 3,000 Hours of Egocentric Video,” in Proceedings of the IEEE/CVF Conference on Computer Vision and Pattern Recognition, 2022.</v>
      </c>
      <c r="D183" s="61" t="str">
        <v>Ego4D collects diverse first-person human video and defines benchmarks for egocentric perception. It provides visual experience relevant to representation learning, distinct from demonstrations labelled with robot-control actions.</v>
      </c>
      <c r="E183" s="63" t="str">
        <v>https://arxiv.org/abs/2110.07058</v>
      </c>
      <c r="F183" s="61" t="str">
        <v>Dataset/benchmark</v>
      </c>
      <c r="G183" s="61" t="str">
        <v>Paper</v>
      </c>
      <c r="H183" s="62" t="str">
        <v>Pending</v>
      </c>
      <c r="I183" s="62" t="str"/>
      <c r="J183" s="61" t="str">
        <v>arXiv:2110.07058</v>
      </c>
      <c r="K183" s="61" t="str">
        <v>ego4d</v>
      </c>
      <c r="L183" s="61" t="str"/>
      <c r="M183" s="61" t="str">
        <v>Primary-source abstract or official release checked online on 2026-09-24; manuscript context used to identify the cited role.</v>
      </c>
    </row>
  </sheetData>
  <dataValidations count="1">
    <dataValidation type="list" sqref="H9:H183">
      <formula1>"Pending,Include,Background,Exclude,Duplicate"</formula1>
    </dataValidation>
  </dataValidations>
  <hyperlinks>
    <hyperlink ref="E9" r:id="paperLink9"/>
    <hyperlink ref="E10" r:id="paperLink10"/>
    <hyperlink ref="E11" r:id="paperLink11"/>
    <hyperlink ref="E12" r:id="paperLink12"/>
    <hyperlink ref="E13" r:id="paperLink13"/>
    <hyperlink ref="E14" r:id="paperLink14"/>
    <hyperlink ref="E15" r:id="paperLink15"/>
    <hyperlink ref="E16" r:id="paperLink16"/>
    <hyperlink ref="E17" r:id="paperLink17"/>
    <hyperlink ref="E18" r:id="paperLink18"/>
    <hyperlink ref="E19" r:id="paperLink19"/>
    <hyperlink ref="E20" r:id="paperLink20"/>
    <hyperlink ref="E21" r:id="paperLink21"/>
    <hyperlink ref="E22" r:id="paperLink22"/>
    <hyperlink ref="E23" r:id="paperLink23"/>
    <hyperlink ref="E24" r:id="paperLink24"/>
    <hyperlink ref="E25" r:id="paperLink25"/>
    <hyperlink ref="E26" r:id="paperLink26"/>
    <hyperlink ref="E27" r:id="paperLink27"/>
    <hyperlink ref="E28" r:id="paperLink28"/>
    <hyperlink ref="E29" r:id="paperLink29"/>
    <hyperlink ref="E30" r:id="paperLink30"/>
    <hyperlink ref="E31" r:id="paperLink31"/>
    <hyperlink ref="E32" r:id="paperLink32"/>
    <hyperlink ref="E33" r:id="paperLink33"/>
    <hyperlink ref="E34" r:id="paperLink34"/>
    <hyperlink ref="E35" r:id="paperLink35"/>
    <hyperlink ref="E36" r:id="paperLink36"/>
    <hyperlink ref="E37" r:id="paperLink37"/>
    <hyperlink ref="E38" r:id="paperLink38"/>
    <hyperlink ref="E39" r:id="paperLink39"/>
    <hyperlink ref="E40" r:id="paperLink40"/>
    <hyperlink ref="E41" r:id="paperLink41"/>
    <hyperlink ref="E42" r:id="paperLink42"/>
    <hyperlink ref="E43" r:id="paperLink43"/>
    <hyperlink ref="E44" r:id="paperLink44"/>
    <hyperlink ref="E45" r:id="paperLink45"/>
    <hyperlink ref="E46" r:id="paperLink46"/>
    <hyperlink ref="E47" r:id="paperLink47"/>
    <hyperlink ref="E48" r:id="paperLink48"/>
    <hyperlink ref="E49" r:id="paperLink49"/>
    <hyperlink ref="E50" r:id="paperLink50"/>
    <hyperlink ref="E51" r:id="paperLink51"/>
    <hyperlink ref="E52" r:id="paperLink52"/>
    <hyperlink ref="E53" r:id="paperLink53"/>
    <hyperlink ref="E54" r:id="paperLink54"/>
    <hyperlink ref="E55" r:id="paperLink55"/>
    <hyperlink ref="E56" r:id="paperLink56"/>
    <hyperlink ref="E57" r:id="paperLink57"/>
    <hyperlink ref="E58" r:id="paperLink58"/>
    <hyperlink ref="E59" r:id="paperLink59"/>
    <hyperlink ref="E60" r:id="paperLink60"/>
    <hyperlink ref="E61" r:id="paperLink61"/>
    <hyperlink ref="E62" r:id="paperLink62"/>
    <hyperlink ref="E63" r:id="paperLink63"/>
    <hyperlink ref="E64" r:id="paperLink64"/>
    <hyperlink ref="E65" r:id="paperLink65"/>
    <hyperlink ref="E66" r:id="paperLink66"/>
    <hyperlink ref="E67" r:id="paperLink67"/>
    <hyperlink ref="E68" r:id="paperLink68"/>
    <hyperlink ref="E69" r:id="paperLink69"/>
    <hyperlink ref="E70" r:id="paperLink70"/>
    <hyperlink ref="E71" r:id="paperLink71"/>
    <hyperlink ref="E72" r:id="paperLink72"/>
    <hyperlink ref="E73" r:id="paperLink73"/>
    <hyperlink ref="E74" r:id="paperLink74"/>
    <hyperlink ref="E75" r:id="paperLink75"/>
    <hyperlink ref="E76" r:id="paperLink76"/>
    <hyperlink ref="E77" r:id="paperLink77"/>
    <hyperlink ref="E78" r:id="paperLink78"/>
    <hyperlink ref="E79" r:id="paperLink79"/>
    <hyperlink ref="E80" r:id="paperLink80"/>
    <hyperlink ref="E81" r:id="paperLink81"/>
    <hyperlink ref="E82" r:id="paperLink82"/>
    <hyperlink ref="E83" r:id="paperLink83"/>
    <hyperlink ref="E84" r:id="paperLink84"/>
    <hyperlink ref="E85" r:id="paperLink85"/>
    <hyperlink ref="E86" r:id="paperLink86"/>
    <hyperlink ref="E87" r:id="paperLink87"/>
    <hyperlink ref="E88" r:id="paperLink88"/>
    <hyperlink ref="E89" r:id="paperLink89"/>
    <hyperlink ref="E90" r:id="paperLink90"/>
    <hyperlink ref="E91" r:id="paperLink91"/>
    <hyperlink ref="E92" r:id="paperLink92"/>
    <hyperlink ref="E93" r:id="paperLink93"/>
    <hyperlink ref="E94" r:id="paperLink94"/>
    <hyperlink ref="E95" r:id="paperLink95"/>
    <hyperlink ref="E96" r:id="paperLink96"/>
    <hyperlink ref="E97" r:id="paperLink97"/>
    <hyperlink ref="E98" r:id="paperLink98"/>
    <hyperlink ref="E99" r:id="paperLink99"/>
    <hyperlink ref="E100" r:id="paperLink100"/>
    <hyperlink ref="E101" r:id="paperLink101"/>
    <hyperlink ref="E102" r:id="paperLink102"/>
    <hyperlink ref="E103" r:id="paperLink103"/>
    <hyperlink ref="E104" r:id="paperLink104"/>
    <hyperlink ref="E105" r:id="paperLink105"/>
    <hyperlink ref="E106" r:id="paperLink106"/>
    <hyperlink ref="E107" r:id="paperLink107"/>
    <hyperlink ref="E108" r:id="paperLink108"/>
    <hyperlink ref="E109" r:id="paperLink109"/>
    <hyperlink ref="E110" r:id="paperLink110"/>
    <hyperlink ref="E111" r:id="paperLink111"/>
    <hyperlink ref="E112" r:id="paperLink112"/>
    <hyperlink ref="E113" r:id="paperLink113"/>
    <hyperlink ref="E114" r:id="paperLink114"/>
    <hyperlink ref="E115" r:id="paperLink115"/>
    <hyperlink ref="E116" r:id="paperLink116"/>
    <hyperlink ref="E117" r:id="paperLink117"/>
    <hyperlink ref="E118" r:id="paperLink118"/>
    <hyperlink ref="E119" r:id="paperLink119"/>
    <hyperlink ref="E120" r:id="paperLink120"/>
    <hyperlink ref="E121" r:id="paperLink121"/>
    <hyperlink ref="E122" r:id="paperLink122"/>
    <hyperlink ref="E123" r:id="paperLink123"/>
    <hyperlink ref="E124" r:id="paperLink124"/>
    <hyperlink ref="E125" r:id="paperLink125"/>
    <hyperlink ref="E126" r:id="paperLink126"/>
    <hyperlink ref="E127" r:id="paperLink127"/>
    <hyperlink ref="E128" r:id="paperLink128"/>
    <hyperlink ref="E129" r:id="paperLink129"/>
    <hyperlink ref="E130" r:id="paperLink130"/>
    <hyperlink ref="E131" r:id="paperLink131"/>
    <hyperlink ref="E132" r:id="paperLink132"/>
    <hyperlink ref="E133" r:id="paperLink133"/>
    <hyperlink ref="E134" r:id="paperLink134"/>
    <hyperlink ref="E135" r:id="paperLink135"/>
    <hyperlink ref="E136" r:id="paperLink136"/>
    <hyperlink ref="E137" r:id="paperLink137"/>
    <hyperlink ref="E138" r:id="paperLink138"/>
    <hyperlink ref="E139" r:id="paperLink139"/>
    <hyperlink ref="E140" r:id="paperLink140"/>
    <hyperlink ref="E141" r:id="paperLink141"/>
    <hyperlink ref="E142" r:id="paperLink142"/>
    <hyperlink ref="E143" r:id="paperLink143"/>
    <hyperlink ref="E144" r:id="paperLink144"/>
    <hyperlink ref="E145" r:id="paperLink145"/>
    <hyperlink ref="E146" r:id="paperLink146"/>
    <hyperlink ref="E147" r:id="paperLink147"/>
    <hyperlink ref="E148" r:id="paperLink148"/>
    <hyperlink ref="E149" r:id="paperLink149"/>
    <hyperlink ref="E150" r:id="paperLink150"/>
    <hyperlink ref="E151" r:id="paperLink151"/>
    <hyperlink ref="E152" r:id="paperLink152"/>
    <hyperlink ref="E153" r:id="paperLink153"/>
    <hyperlink ref="E154" r:id="paperLink154"/>
    <hyperlink ref="E155" r:id="paperLink155"/>
    <hyperlink ref="E156" r:id="paperLink156"/>
    <hyperlink ref="E157" r:id="paperLink157"/>
    <hyperlink ref="E158" r:id="paperLink158"/>
    <hyperlink ref="E159" r:id="paperLink159"/>
    <hyperlink ref="E160" r:id="paperLink160"/>
    <hyperlink ref="E161" r:id="paperLink161"/>
    <hyperlink ref="E162" r:id="paperLink162"/>
    <hyperlink ref="E163" r:id="paperLink163"/>
    <hyperlink ref="E164" r:id="paperLink164"/>
    <hyperlink ref="E165" r:id="paperLink165"/>
    <hyperlink ref="E166" r:id="paperLink166"/>
    <hyperlink ref="E167" r:id="paperLink167"/>
    <hyperlink ref="E168" r:id="paperLink168"/>
    <hyperlink ref="E169" r:id="paperLink169"/>
    <hyperlink ref="E170" r:id="paperLink170"/>
    <hyperlink ref="E171" r:id="paperLink171"/>
    <hyperlink ref="E172" r:id="paperLink172"/>
    <hyperlink ref="E173" r:id="paperLink173"/>
    <hyperlink ref="E174" r:id="paperLink174"/>
    <hyperlink ref="E175" r:id="paperLink175"/>
    <hyperlink ref="E176" r:id="paperLink176"/>
    <hyperlink ref="E177" r:id="paperLink177"/>
    <hyperlink ref="E178" r:id="paperLink178"/>
    <hyperlink ref="E179" r:id="paperLink179"/>
    <hyperlink ref="E180" r:id="paperLink180"/>
    <hyperlink ref="E181" r:id="paperLink181"/>
    <hyperlink ref="E182" r:id="paperLink182"/>
    <hyperlink ref="E183" r:id="paperLink183"/>
  </hyperlinks>
  <pageMargins left="0.7" right="0.7" top="0.75" bottom="0.75" header="0.3" footer="0.3"/>
  <tableParts count="1">
    <tablePart r:id="R2b6d2b82f1314e27"/>
  </tableParts>
</worksheet>
</file>

<file path=xl/worksheets/sheet12.xml><?xml version="1.0" encoding="utf-8"?>
<x:worksheet xmlns:r="http://schemas.openxmlformats.org/officeDocument/2006/relationships" xmlns:x="http://schemas.openxmlformats.org/spreadsheetml/2006/main">
  <x:sheetPr>
    <x:tabColor rgb="FF1F4E78"/>
  </x:sheetPr>
  <x:sheetViews>
    <x:sheetView showGridLines="0" workbookViewId="0">
      <x:pane xSplit="2" ySplit="8" topLeftCell="C9" activePane="bottomRight" state="frozen"/>
    </x:sheetView>
  </x:sheetViews>
  <x:sheetFormatPr defaultRowHeight="15"/>
  <x:cols>
    <x:col min="1" max="1" width="9" hidden="0" customWidth="1"/>
    <x:col min="2" max="2" width="25" hidden="0" customWidth="1"/>
    <x:col min="3" max="3" width="14" hidden="0" customWidth="1"/>
    <x:col min="4" max="4" width="76" hidden="0" customWidth="1"/>
    <x:col min="5" max="5" width="96" hidden="0" customWidth="1"/>
    <x:col min="6" max="6" width="48" hidden="0" customWidth="1"/>
    <x:col min="7" max="7" width="29" hidden="0" customWidth="1"/>
    <x:col min="8" max="8" width="23" hidden="0" customWidth="1"/>
  </x:cols>
  <x:sheetData>
    <x:row r="1" ht="25" customHeight="1">
      <x:c r="A1" s="67" t="str">
        <x:v>Current manuscript references</x:v>
      </x:c>
      <x:c r="B1" s="66"/>
      <x:c r="C1" s="66"/>
      <x:c r="D1" s="66"/>
      <x:c r="E1" s="66"/>
      <x:c r="F1" s="66"/>
      <x:c r="G1" s="66"/>
      <x:c r="H1" s="66"/>
    </x:row>
    <x:row r="2" ht="8" customHeight="1">
      <x:c r="A2" s="66"/>
      <x:c r="B2" s="66"/>
      <x:c r="C2" s="66"/>
      <x:c r="D2" s="66"/>
      <x:c r="E2" s="66"/>
      <x:c r="F2" s="66"/>
      <x:c r="G2" s="66"/>
      <x:c r="H2" s="66"/>
    </x:row>
    <x:row r="3" ht="31" customHeight="1">
      <x:c r="A3" s="66" t="str">
        <x:v>Cited sources</x:v>
      </x:c>
      <x:c r="B3" s="66"/>
      <x:c r="C3" s="69" t="n">
        <x:f>COUNTA(B9:B187)</x:f>
        <x:v>179</x:v>
      </x:c>
      <x:c r="D3" s="71" t="str">
        <x:v>References in the manuscript released on 1 October 2026.</x:v>
      </x:c>
      <x:c r="E3" s="66"/>
      <x:c r="F3" s="66"/>
      <x:c r="G3" s="66" t="str">
        <x:v>Paper sources</x:v>
      </x:c>
      <x:c r="H3" s="72" t="n">
        <x:f>COUNTIFS(G9:G187,"Paper")</x:f>
        <x:v>171</x:v>
      </x:c>
    </x:row>
    <x:row r="4" ht="31" customHeight="1">
      <x:c r="A4" s="66" t="str">
        <x:v>Pending decisions</x:v>
      </x:c>
      <x:c r="B4" s="66"/>
      <x:c r="C4" s="69" t="n">
        <x:f>COUNTIFS(H9:H187,"Pending")</x:f>
        <x:v>179</x:v>
      </x:c>
      <x:c r="D4" s="71" t="str">
        <x:v>Review decisions are Pending. Citation counts do not establish the 156-report included corpus.</x:v>
      </x:c>
      <x:c r="E4" s="66"/>
      <x:c r="F4" s="66"/>
      <x:c r="G4" s="66" t="str">
        <x:v>Other technical sources</x:v>
      </x:c>
      <x:c r="H4" s="72" t="n">
        <x:f>COUNTIFS(G9:G187,"Technical release / software")</x:f>
        <x:v>8</x:v>
      </x:c>
    </x:row>
    <x:row r="5" ht="31" customHeight="1">
      <x:c r="A5" s="66"/>
      <x:c r="B5" s="66"/>
      <x:c r="C5" s="66"/>
      <x:c r="D5" s="71" t="str">
        <x:v>The earlier 175-reference Cited Papers sheet is retained unchanged.</x:v>
      </x:c>
      <x:c r="E5" s="66"/>
      <x:c r="F5" s="66"/>
      <x:c r="G5" s="66"/>
      <x:c r="H5" s="66"/>
    </x:row>
    <x:row r="6" ht="9" customHeight="1">
      <x:c r="A6" s="66"/>
      <x:c r="B6" s="66"/>
      <x:c r="C6" s="66"/>
      <x:c r="D6" s="66"/>
      <x:c r="E6" s="66"/>
      <x:c r="F6" s="66"/>
      <x:c r="G6" s="66"/>
      <x:c r="H6" s="66"/>
    </x:row>
    <x:row r="7" ht="9" customHeight="1">
      <x:c r="A7" s="66"/>
      <x:c r="B7" s="66"/>
      <x:c r="C7" s="66"/>
      <x:c r="D7" s="66"/>
      <x:c r="E7" s="66"/>
      <x:c r="F7" s="66"/>
      <x:c r="G7" s="66"/>
      <x:c r="H7" s="66"/>
    </x:row>
    <x:row r="8" ht="32" customHeight="1">
      <x:c r="A8" s="77" t="str">
        <x:v>Ref.</x:v>
      </x:c>
      <x:c r="B8" s="77" t="str">
        <x:v>Citation key</x:v>
      </x:c>
      <x:c r="C8" s="77" t="str">
        <x:v>Year (as cited)</x:v>
      </x:c>
      <x:c r="D8" s="77" t="str">
        <x:v>Reference (as cited)</x:v>
      </x:c>
      <x:c r="E8" s="77" t="str">
        <x:v>Two-sentence summary</x:v>
      </x:c>
      <x:c r="F8" s="77" t="str">
        <x:v>Primary source link</x:v>
      </x:c>
      <x:c r="G8" s="77" t="str">
        <x:v>Source type</x:v>
      </x:c>
      <x:c r="H8" s="77" t="str">
        <x:v>Review decision</x:v>
      </x:c>
    </x:row>
    <x:row r="9" ht="72" customHeight="1">
      <x:c r="A9" s="79" t="n">
        <x:v>1</x:v>
      </x:c>
      <x:c r="B9" s="70" t="str">
        <x:v>rt2</x:v>
      </x:c>
      <x:c r="C9" s="79" t="n">
        <x:v>2023</x:v>
      </x:c>
      <x:c r="D9" s="70" t="str">
        <x:v>B. Zitkovich, T. Yu, S. Xu, P. Xu, T. Xiao, F. Xia, J. Wu, P. Wohlhart, S. Welker, A. Wahid et al., “RT-2: Vision-language-action models transfer web knowledge to robotic control,” in Proc. Conf. Robot Learn. (CoRL), 2023, arXiv:2307.15818.</x:v>
      </x:c>
      <x:c r="E9" s="70" t="str">
        <x:v>RT-2 represents robot actions as tokens and co-trains on robotic trajectories and vision-language tasks. It studies how knowledge learned from web data transfers into language-conditioned manipulation.</x:v>
      </x:c>
      <x:c r="F9" s="81" t="str">
        <x:v>https://arxiv.org/abs/2307.15818</x:v>
      </x:c>
      <x:c r="G9" s="70" t="str">
        <x:v>Paper</x:v>
      </x:c>
      <x:c r="H9" s="80" t="str">
        <x:v>Pending</x:v>
      </x:c>
    </x:row>
    <x:row r="10" ht="72" customHeight="1">
      <x:c r="A10" s="79" t="n">
        <x:v>2</x:v>
      </x:c>
      <x:c r="B10" s="70" t="str">
        <x:v>openvla</x:v>
      </x:c>
      <x:c r="C10" s="79" t="n">
        <x:v>2024</x:v>
      </x:c>
      <x:c r="D10" s="70" t="str">
        <x:v>M. J. Kim, K. Pertsch, S. Karamcheti, T. Xiao, A. Balakrishna, S. Nair, R. Rafailov, E. Foster, G. Lam, P. Sanketi et al., “OpenVLA: An open-source vision-language-action model,” in Proc. Conf. Robot Learn. (CoRL), 2024, arXiv:2406.09246.</x:v>
      </x:c>
      <x:c r="E10" s="70" t="str">
        <x:v>OpenVLA combines pretrained visual-language representations with autoregressive robot-action prediction in an open model. It provides a generalist manipulation policy that can be adapted to new tasks through fine-tuning.</x:v>
      </x:c>
      <x:c r="F10" s="81" t="str">
        <x:v>https://arxiv.org/abs/2406.09246</x:v>
      </x:c>
      <x:c r="G10" s="70" t="str">
        <x:v>Paper</x:v>
      </x:c>
      <x:c r="H10" s="80" t="str">
        <x:v>Pending</x:v>
      </x:c>
    </x:row>
    <x:row r="11" ht="62" customHeight="1">
      <x:c r="A11" s="79" t="n">
        <x:v>3</x:v>
      </x:c>
      <x:c r="B11" s="70" t="str">
        <x:v>oxe</x:v>
      </x:c>
      <x:c r="C11" s="79" t="n">
        <x:v>2024</x:v>
      </x:c>
      <x:c r="D11" s="70" t="str">
        <x:v>Open X-Embodiment Collaboration, “Open X-Embodiment: Robotic learning datasets and RT-X models,” in Proc. IEEE Int. Conf. Robot. Autom. (ICRA), 2024, arXiv:2310.08864.</x:v>
      </x:c>
      <x:c r="E11" s="70" t="str">
        <x:v>Open X-Embodiment brings together robot demonstration datasets collected across different embodiments. The accompanying RT-X models examine whether training on this combined data improves transfer between robotic platforms.</x:v>
      </x:c>
      <x:c r="F11" s="81" t="str">
        <x:v>https://arxiv.org/abs/2310.08864</x:v>
      </x:c>
      <x:c r="G11" s="70" t="str">
        <x:v>Paper</x:v>
      </x:c>
      <x:c r="H11" s="80" t="str">
        <x:v>Pending</x:v>
      </x:c>
    </x:row>
    <x:row r="12" ht="72" customHeight="1">
      <x:c r="A12" s="79" t="n">
        <x:v>4</x:v>
      </x:c>
      <x:c r="B12" s="70" t="str">
        <x:v>pi0</x:v>
      </x:c>
      <x:c r="C12" s="79" t="n">
        <x:v>2025</x:v>
      </x:c>
      <x:c r="D12" s="70" t="str">
        <x:v>K. Black, N. Brown, D. Driess, A. Esmail, M. Equi, C. Finn, N. Fusai, L. Groom, K. Hausman, B. Ichter et al., “π0: A vision-language-action flow model for general robot control,” in Proc. Robot.: Sci. Syst. (RSS), 2025, arXiv:2410.24164.</x:v>
      </x:c>
      <x:c r="E12" s="70" t="str">
        <x:v>The π0 model couples a pretrained vision-language backbone to a flow-matching action expert. It generates continuous action chunks for manipulation across tasks and robot embodiments.</x:v>
      </x:c>
      <x:c r="F12" s="81" t="str">
        <x:v>https://arxiv.org/abs/2410.24164</x:v>
      </x:c>
      <x:c r="G12" s="70" t="str">
        <x:v>Paper</x:v>
      </x:c>
      <x:c r="H12" s="80" t="str">
        <x:v>Pending</x:v>
      </x:c>
    </x:row>
    <x:row r="13" ht="62" customHeight="1">
      <x:c r="A13" s="79" t="n">
        <x:v>5</x:v>
      </x:c>
      <x:c r="B13" s="70" t="str">
        <x:v>groot</x:v>
      </x:c>
      <x:c r="C13" s="79" t="n">
        <x:v>2025</x:v>
      </x:c>
      <x:c r="D13" s="70" t="str">
        <x:v>J. Bjorck, F. Castañeda, N. Cherniadev, X. Da, R. Ding, L. Fan, Y. Fang, D. Fox, F. Hu, S. Huang et al., “GR00T N1: An open foundation model for generalist humanoid robots,” arXiv preprint arXiv:2503.14734, 2025.</x:v>
      </x:c>
      <x:c r="E13" s="70" t="str">
        <x:v>GR00T N1 combines vision-language interpretation with diffusion-based action generation for humanoid robots. Its dual-system design connects slower semantic processing with continuous control.</x:v>
      </x:c>
      <x:c r="F13" s="81" t="str">
        <x:v>https://arxiv.org/abs/2503.14734</x:v>
      </x:c>
      <x:c r="G13" s="70" t="str">
        <x:v>Paper</x:v>
      </x:c>
      <x:c r="H13" s="80" t="str">
        <x:v>Pending</x:v>
      </x:c>
    </x:row>
    <x:row r="14" ht="62" customHeight="1">
      <x:c r="A14" s="79" t="n">
        <x:v>6</x:v>
      </x:c>
      <x:c r="B14" s="70" t="str">
        <x:v>geminirobotics</x:v>
      </x:c>
      <x:c r="C14" s="79" t="n">
        <x:v>2025</x:v>
      </x:c>
      <x:c r="D14" s="70" t="str">
        <x:v>Gemini Robotics Team, “Gemini Robotics: Bringing AI into the physical world,” arXiv preprint arXiv:2503.20020, 2025, google DeepMind technical report.</x:v>
      </x:c>
      <x:c r="E14" s="70" t="str">
        <x:v>Gemini Robotics extends a Gemini vision-language model to generate robot actions from observations and instructions. The developer-reported study examines manipulation capabilities and transfer across embodiments.</x:v>
      </x:c>
      <x:c r="F14" s="81" t="str">
        <x:v>https://arxiv.org/abs/2503.20020</x:v>
      </x:c>
      <x:c r="G14" s="70" t="str">
        <x:v>Paper</x:v>
      </x:c>
      <x:c r="H14" s="80" t="str">
        <x:v>Pending</x:v>
      </x:c>
    </x:row>
    <x:row r="15" ht="62" customHeight="1">
      <x:c r="A15" s="79" t="n">
        <x:v>7</x:v>
      </x:c>
      <x:c r="B15" s="70" t="str">
        <x:v>gemini15</x:v>
      </x:c>
      <x:c r="C15" s="79" t="n">
        <x:v>2025</x:v>
      </x:c>
      <x:c r="D15" s="70" t="str">
        <x:v>–––, “Gemini Robotics 1.5: Pushing the frontier of generalist robots with advanced embodied reasoning, thinking, and motion transfer,” arXiv preprint arXiv:2510.03342, 2025, google DeepMind technical report.</x:v>
      </x:c>
      <x:c r="E15" s="70" t="str">
        <x:v>Gemini Robotics 1.5 integrates embodied reasoning with action generation in a multi-embodiment policy. The developer report also describes transferring motion knowledge across robot configurations.</x:v>
      </x:c>
      <x:c r="F15" s="81" t="str">
        <x:v>https://arxiv.org/abs/2510.03342</x:v>
      </x:c>
      <x:c r="G15" s="70" t="str">
        <x:v>Paper</x:v>
      </x:c>
      <x:c r="H15" s="80" t="str">
        <x:v>Pending</x:v>
      </x:c>
    </x:row>
    <x:row r="16" ht="62" customHeight="1">
      <x:c r="A16" s="79" t="n">
        <x:v>8</x:v>
      </x:c>
      <x:c r="B16" s="70" t="str">
        <x:v>openvlaoft</x:v>
      </x:c>
      <x:c r="C16" s="79" t="n">
        <x:v>2025</x:v>
      </x:c>
      <x:c r="D16" s="70" t="str">
        <x:v>M. J. Kim, C. Finn, and P. Liang, “Fine-tuning vision-language-action models: Optimizing speed and success,” arXiv preprint arXiv:2502.19645, 2025.</x:v>
      </x:c>
      <x:c r="E16" s="70" t="str">
        <x:v>OpenVLA-OFT studies fine-tuning choices for faster and more successful VLA control. Its recipe uses action chunking and parallel continuous regression instead of sequential action-token decoding.</x:v>
      </x:c>
      <x:c r="F16" s="81" t="str">
        <x:v>https://arxiv.org/abs/2502.19645</x:v>
      </x:c>
      <x:c r="G16" s="70" t="str">
        <x:v>Paper</x:v>
      </x:c>
      <x:c r="H16" s="80" t="str">
        <x:v>Pending</x:v>
      </x:c>
    </x:row>
    <x:row r="17" ht="62" customHeight="1">
      <x:c r="A17" s="79" t="n">
        <x:v>9</x:v>
      </x:c>
      <x:c r="B17" s="70" t="str">
        <x:v>liberoplus</x:v>
      </x:c>
      <x:c r="C17" s="79" t="n">
        <x:v>2025</x:v>
      </x:c>
      <x:c r="D17" s="70" t="str">
        <x:v>S. Fei, S. Wang, J. Shi, Z. Dai, J. Cai, P. Qian, L. Ji, X. He, S. Zhang, Z. Fei et al., “LIBERO-Plus: In-depth robustness analysis of vision-language-action models,” arXiv preprint arXiv:2510.13626, 2025.</x:v>
      </x:c>
      <x:c r="E17" s="70" t="str">
        <x:v>LIBERO-Plus probes manipulation policies with controlled visual, physical-configuration, and instruction perturbations. Its instruction-removal and goal-replacement tests distinguish apparent language robustness from reliable instruction grounding.</x:v>
      </x:c>
      <x:c r="F17" s="81" t="str">
        <x:v>https://arxiv.org/abs/2510.13626</x:v>
      </x:c>
      <x:c r="G17" s="70" t="str">
        <x:v>Paper</x:v>
      </x:c>
      <x:c r="H17" s="80" t="str">
        <x:v>Pending</x:v>
      </x:c>
    </x:row>
    <x:row r="18" ht="62" customHeight="1">
      <x:c r="A18" s="79" t="n">
        <x:v>10</x:v>
      </x:c>
      <x:c r="B18" s="70" t="str">
        <x:v>polaris</x:v>
      </x:c>
      <x:c r="C18" s="79" t="n">
        <x:v>2025</x:v>
      </x:c>
      <x:c r="D18" s="70" t="str">
        <x:v>A. Jain, M. Zhang, K. Arora, W. Chen, M. Torne, M. Z. Irshad, S. Zakharov, Y. Wang, S. Levine, C. Finn et al., “PolaRiS: Scalable real-to-sim evaluations for generalist robot policies,” arXiv preprint arXiv:2512.16881, 2025.</x:v>
      </x:c>
      <x:c r="E18" s="70" t="str">
        <x:v>PolaRiS reconstructs interactive simulation environments from short scans of real scenes for robot-policy evaluation. Paired simulated and physical tests examine how well these evaluations predict real-world performance.</x:v>
      </x:c>
      <x:c r="F18" s="81" t="str">
        <x:v>https://arxiv.org/abs/2512.16881</x:v>
      </x:c>
      <x:c r="G18" s="70" t="str">
        <x:v>Paper</x:v>
      </x:c>
      <x:c r="H18" s="80" t="str">
        <x:v>Pending</x:v>
      </x:c>
    </x:row>
    <x:row r="19" ht="72" customHeight="1">
      <x:c r="A19" s="79" t="n">
        <x:v>11</x:v>
      </x:c>
      <x:c r="B19" s="70" t="str">
        <x:v>simplevlarl</x:v>
      </x:c>
      <x:c r="C19" s="79" t="n">
        <x:v>2026</x:v>
      </x:c>
      <x:c r="D19" s="70" t="str">
        <x:v>H. Li, Y. Zuo, J. Yu, Y. Zhang, Z. Yang, K. Zhang, X. Zhu, Y. Zhang, T. Chen, G. Cui et al., “SimpleVLA-RL: Scaling VLA training via reinforcement learning,” in Proc. Int. Conf. Learn. Representations (ICLR), 2026, arXiv:2509.09674.</x:v>
      </x:c>
      <x:c r="E19" s="70" t="str">
        <x:v>SimpleVLA-RL adapts VLA policies through online reinforcement learning with stochastic action-token decoding. It evaluates how interaction changes performance under different demonstration budgets.</x:v>
      </x:c>
      <x:c r="F19" s="81" t="str">
        <x:v>https://arxiv.org/abs/2509.09674</x:v>
      </x:c>
      <x:c r="G19" s="70" t="str">
        <x:v>Paper</x:v>
      </x:c>
      <x:c r="H19" s="80" t="str">
        <x:v>Pending</x:v>
      </x:c>
    </x:row>
    <x:row r="20" ht="62" customHeight="1">
      <x:c r="A20" s="79" t="n">
        <x:v>12</x:v>
      </x:c>
      <x:c r="B20" s="70" t="str">
        <x:v>riptvla</x:v>
      </x:c>
      <x:c r="C20" s="79" t="n">
        <x:v>2025</x:v>
      </x:c>
      <x:c r="D20" s="70" t="str">
        <x:v>S. Tan, K. Dou, Y. Zhao, and P. Krähenbühl, “Interactive post-training for vision-language-action models,” arXiv preprint arXiv:2505.17016, 2025.</x:v>
      </x:c>
      <x:c r="E20" s="70" t="str">
        <x:v>RIPT-VLA fine-tunes pretrained robot policies through reinforcement learning with sparse task-success rewards. It studies interactive post-training of both lightweight and larger policies under limited supervision.</x:v>
      </x:c>
      <x:c r="F20" s="81" t="str">
        <x:v>https://arxiv.org/abs/2505.17016</x:v>
      </x:c>
      <x:c r="G20" s="70" t="str">
        <x:v>Paper</x:v>
      </x:c>
      <x:c r="H20" s="80" t="str">
        <x:v>Pending</x:v>
      </x:c>
    </x:row>
    <x:row r="21" ht="72" customHeight="1">
      <x:c r="A21" s="79" t="n">
        <x:v>13</x:v>
      </x:c>
      <x:c r="B21" s="70" t="str">
        <x:v>vjepa2</x:v>
      </x:c>
      <x:c r="C21" s="79" t="n">
        <x:v>2025</x:v>
      </x:c>
      <x:c r="D21" s="70" t="str">
        <x:v>M. Assran, A. Bardes, D. Fan, Q. Garrido, R. Howes, M. Komeili, M. Muckley, A. Rizvi, C. Roberts, K. Sinha et al., “V-JEPA 2: Self-supervised video models enable understanding, prediction and planning,” arXiv preprint arXiv:2506.09985, 2025.</x:v>
      </x:c>
      <x:c r="E21" s="70" t="str">
        <x:v>V-JEPA 2 learns predictive video representations from action-free video at scale. Its separately adapted V-JEPA 2-AC model predicts action-conditioned latent transitions for planning toward image goals.</x:v>
      </x:c>
      <x:c r="F21" s="81" t="str">
        <x:v>https://arxiv.org/abs/2506.09985</x:v>
      </x:c>
      <x:c r="G21" s="70" t="str">
        <x:v>Paper</x:v>
      </x:c>
      <x:c r="H21" s="80" t="str">
        <x:v>Pending</x:v>
      </x:c>
    </x:row>
    <x:row r="22" ht="62" customHeight="1">
      <x:c r="A22" s="79" t="n">
        <x:v>14</x:v>
      </x:c>
      <x:c r="B22" s="70" t="str">
        <x:v>dreamgen</x:v>
      </x:c>
      <x:c r="C22" s="79" t="n">
        <x:v>2025</x:v>
      </x:c>
      <x:c r="D22" s="70" t="str">
        <x:v>J. Jang, S. Ye, Z. Lin, J. Xiang, J. Bjorck, Y. Fang, F. Hu, S. Huang, K. Kundalia, Y.-C. Lin et al., “DreamGen: Unlocking generalization in robot learning through video world models,” arXiv preprint arXiv:2505.12705, 2025.</x:v>
      </x:c>
      <x:c r="E22" s="70" t="str">
        <x:v>DreamGen generates task-conditioned robot videos and obtains pseudo-action labels through inverse dynamics. The resulting synthetic trajectories augment policy training as an offline data-generation pipeline.</x:v>
      </x:c>
      <x:c r="F22" s="81" t="str">
        <x:v>https://arxiv.org/abs/2505.12705</x:v>
      </x:c>
      <x:c r="G22" s="70" t="str">
        <x:v>Paper</x:v>
      </x:c>
      <x:c r="H22" s="80" t="str">
        <x:v>Pending</x:v>
      </x:c>
    </x:row>
    <x:row r="23" ht="62" customHeight="1">
      <x:c r="A23" s="79" t="n">
        <x:v>15</x:v>
      </x:c>
      <x:c r="B23" s="70" t="str">
        <x:v>dreamer4</x:v>
      </x:c>
      <x:c r="C23" s="79" t="n">
        <x:v>2025</x:v>
      </x:c>
      <x:c r="D23" s="70" t="str">
        <x:v>D. Hafner, W. Yan, and T. Lillicrap, “Training agents inside of scalable world models,” arXiv preprint arXiv:2509.24527, 2025.</x:v>
      </x:c>
      <x:c r="E23" s="70" t="str">
        <x:v>Dreamer 4 trains agents inside a scalable video world model learned from offline data. Its main application is Minecraft, while separate ablations examine the amount of action-labeled video required for prediction.</x:v>
      </x:c>
      <x:c r="F23" s="81" t="str">
        <x:v>https://arxiv.org/abs/2509.24527</x:v>
      </x:c>
      <x:c r="G23" s="70" t="str">
        <x:v>Paper</x:v>
      </x:c>
      <x:c r="H23" s="80" t="str">
        <x:v>Pending</x:v>
      </x:c>
    </x:row>
    <x:row r="24" ht="62" customHeight="1">
      <x:c r="A24" s="79" t="n">
        <x:v>16</x:v>
      </x:c>
      <x:c r="B24" s="70" t="str">
        <x:v>worldvla</x:v>
      </x:c>
      <x:c r="C24" s="79" t="n">
        <x:v>2025</x:v>
      </x:c>
      <x:c r="D24" s="70" t="str">
        <x:v>J. Cen, C. Yu, H. Yuan, Y. Jiang, S. Huang, J. Guo, X. Li, Y. Song, H. Luo, F. Wang et al., “WorldVLA: Towards autoregressive action world model,” arXiv preprint arXiv:2506.21539, 2025.</x:v>
      </x:c>
      <x:c r="E24" s="70" t="str">
        <x:v>WorldVLA uses shared autoregressive modeling for robot actions and future observations. Its predictive-training experiments provide evidence about joint learning without establishing a general advantage for online candidate-action search.</x:v>
      </x:c>
      <x:c r="F24" s="81" t="str">
        <x:v>https://arxiv.org/abs/2506.21539</x:v>
      </x:c>
      <x:c r="G24" s="70" t="str">
        <x:v>Paper</x:v>
      </x:c>
      <x:c r="H24" s="80" t="str">
        <x:v>Pending</x:v>
      </x:c>
    </x:row>
    <x:row r="25" ht="72" customHeight="1">
      <x:c r="A25" s="79" t="n">
        <x:v>17</x:v>
      </x:c>
      <x:c r="B25" s="70" t="str">
        <x:v>cosmospolicy</x:v>
      </x:c>
      <x:c r="C25" s="79" t="n">
        <x:v>2026</x:v>
      </x:c>
      <x:c r="D25" s="70" t="str">
        <x:v>M. J. Kim, Y. Gao, T.-Y. Lin, Y.-C. Lin, Y. Ge, G. Lam, P. Liang, S. Song, M.-Y. Liu, C. Finn, and J. Gu, “Cosmos Policy: Fine-tuning video models for visuomotor control and planning,” in Proc. Int. Conf. Learn. Representations (ICLR), 2026, arXiv:2601.16163.</x:v>
      </x:c>
      <x:c r="E25" s="70" t="str">
        <x:v>Cosmos Policy adapts a video model to jointly generate actions, future states, and values. It evaluates direct visuomotor execution alongside rollout refinement and candidate selection for planning.</x:v>
      </x:c>
      <x:c r="F25" s="81" t="str">
        <x:v>https://arxiv.org/abs/2601.16163</x:v>
      </x:c>
      <x:c r="G25" s="70" t="str">
        <x:v>Paper</x:v>
      </x:c>
      <x:c r="H25" s="80" t="str">
        <x:v>Pending</x:v>
      </x:c>
    </x:row>
    <x:row r="26" ht="62" customHeight="1">
      <x:c r="A26" s="79" t="n">
        <x:v>18</x:v>
      </x:c>
      <x:c r="B26" s="70" t="str">
        <x:v>ma2024survey</x:v>
      </x:c>
      <x:c r="C26" s="79" t="n">
        <x:v>2026</x:v>
      </x:c>
      <x:c r="D26" s="70" t="str">
        <x:v>Y. Ma, Z. Song, Y. Zhuang, J. Hao, and I. King, “A survey on vision-language-action models for embodied AI,” IEEE Trans. Neural Netw. Learn. Syst., 2026, arXiv:2405.14093.</x:v>
      </x:c>
      <x:c r="E26" s="70" t="str">
        <x:v>This survey organizes VLA research into model components, low-level control policies, and high-level task planners. It also reviews datasets, simulators, and benchmarks that support language-conditioned embodied action.</x:v>
      </x:c>
      <x:c r="F26" s="81" t="str">
        <x:v>https://arxiv.org/abs/2405.14093</x:v>
      </x:c>
      <x:c r="G26" s="70" t="str">
        <x:v>Paper</x:v>
      </x:c>
      <x:c r="H26" s="80" t="str">
        <x:v>Pending</x:v>
      </x:c>
    </x:row>
    <x:row r="27" ht="62" customHeight="1">
      <x:c r="A27" s="79" t="n">
        <x:v>19</x:v>
      </x:c>
      <x:c r="B27" s="70" t="str">
        <x:v>zhong2025token</x:v>
      </x:c>
      <x:c r="C27" s="79" t="n">
        <x:v>2025</x:v>
      </x:c>
      <x:c r="D27" s="70" t="str">
        <x:v>Y. Zhong, F. Bai, S. Cai, X. Huang, Z. Chen, X. Zhang, Y. Wang, S. Guo, T. Guan, K. N. Lui et al., “A survey on vision-language-action models: An action tokenization perspective,” arXiv preprint arXiv:2507.01925, 2025.</x:v>
      </x:c>
      <x:c r="E27" s="70" t="str">
        <x:v>This survey compares VLA systems through the intermediate representations used to express actions. Its tokenization taxonomy spans language, code, affordances, trajectories, goals, latent codes, raw actions, and reasoning.</x:v>
      </x:c>
      <x:c r="F27" s="81" t="str">
        <x:v>https://arxiv.org/abs/2507.01925</x:v>
      </x:c>
      <x:c r="G27" s="70" t="str">
        <x:v>Paper</x:v>
      </x:c>
      <x:c r="H27" s="80" t="str">
        <x:v>Pending</x:v>
      </x:c>
    </x:row>
    <x:row r="28" ht="62" customHeight="1">
      <x:c r="A28" s="79" t="n">
        <x:v>20</x:v>
      </x:c>
      <x:c r="B28" s="70" t="str">
        <x:v>kawaharazuka2025</x:v>
      </x:c>
      <x:c r="C28" s="79" t="n">
        <x:v>2025</x:v>
      </x:c>
      <x:c r="D28" s="70" t="str">
        <x:v>K. Kawaharazuka, J. Oh, J. Yamada, I. Posner, and Y. Zhu, “Vision-language-action models for robotics: A review towards real-world applications,” IEEE Access, vol. 13, pp. 162467–162504, 2025.</x:v>
      </x:c>
      <x:c r="E28" s="70" t="str">
        <x:v>This review connects VLA architectures and learning methods with the practical requirements of robot deployment. It covers hardware platforms, data collection, augmentation, datasets, and evaluation alongside model design.</x:v>
      </x:c>
      <x:c r="F28" s="81" t="str">
        <x:v>https://arxiv.org/abs/2510.07077</x:v>
      </x:c>
      <x:c r="G28" s="70" t="str">
        <x:v>Paper</x:v>
      </x:c>
      <x:c r="H28" s="80" t="str">
        <x:v>Pending</x:v>
      </x:c>
    </x:row>
    <x:row r="29" ht="62" customHeight="1">
      <x:c r="A29" s="79" t="n">
        <x:v>21</x:v>
      </x:c>
      <x:c r="B29" s="70" t="str">
        <x:v>din2025priorvlasurvey</x:v>
      </x:c>
      <x:c r="C29" s="79" t="n">
        <x:v>2026</x:v>
      </x:c>
      <x:c r="D29" s="70" t="str">
        <x:v>M. U. Din, W. Akram, L. S. Saoud, J. Rosell, and I. Hussain, “Multimodal fusion with vision-language-action models for robotic manipulation: A systematic review,” Information Fusion, vol. 129, p. 104062, 2026.</x:v>
      </x:c>
      <x:c r="E29" s="70" t="str">
        <x:v>This systematic review organizes manipulation VLAs by multimodal fusion strategies, architectures, datasets, and evaluation resources. It also develops an agentic outlook in which planners use VLA skills with verification and diagnostic feedback.</x:v>
      </x:c>
      <x:c r="F29" s="81" t="str">
        <x:v>https://doi.org/10.1016/j.inffus.2025.104062</x:v>
      </x:c>
      <x:c r="G29" s="70" t="str">
        <x:v>Paper</x:v>
      </x:c>
      <x:c r="H29" s="80" t="str">
        <x:v>Pending</x:v>
      </x:c>
    </x:row>
    <x:row r="30" ht="62" customHeight="1">
      <x:c r="A30" s="79" t="n">
        <x:v>22</x:v>
      </x:c>
      <x:c r="B30" s="70" t="str">
        <x:v>hou2026wm</x:v>
      </x:c>
      <x:c r="C30" s="79" t="n">
        <x:v>2026</x:v>
      </x:c>
      <x:c r="D30" s="70" t="str">
        <x:v>B. Hou, G. Li, J. Jia, T. An, X. Guo, S. Leng, H. Geng, Y. Ze, T. Harada, P. Torr et al., “World model for robot learning: A comprehensive survey,” arXiv preprint arXiv:2605.00080, 2026.</x:v>
      </x:c>
      <x:c r="E30" s="70" t="str">
        <x:v>This survey reviews world models according to their roles in robot-policy learning, planning, simulation, data generation, and evaluation. It relates policy coupling and controllable video prediction to datasets and experimental protocols across embodied domains.</x:v>
      </x:c>
      <x:c r="F30" s="81" t="str">
        <x:v>https://arxiv.org/abs/2605.00080</x:v>
      </x:c>
      <x:c r="G30" s="70" t="str">
        <x:v>Paper</x:v>
      </x:c>
      <x:c r="H30" s="80" t="str">
        <x:v>Pending</x:v>
      </x:c>
    </x:row>
    <x:row r="31" ht="62" customHeight="1">
      <x:c r="A31" s="79" t="n">
        <x:v>23</x:v>
      </x:c>
      <x:c r="B31" s="70" t="str">
        <x:v>li2025wm</x:v>
      </x:c>
      <x:c r="C31" s="79" t="n">
        <x:v>2025</x:v>
      </x:c>
      <x:c r="D31" s="70" t="str">
        <x:v>X. Li, X. He, L. Zhang, M. Wu, X. Li, and Y. Liu, “A comprehensive survey on world models for embodied AI,” arXiv preprint arXiv:2510.16732, 2025.</x:v>
      </x:c>
      <x:c r="E31" s="70" t="str">
        <x:v>This survey classifies embodied world models by functionality, temporal modeling, and spatial representation. It compares data resources and evaluation criteria while emphasizing physical consistency, temporal coherence, and computational cost.</x:v>
      </x:c>
      <x:c r="F31" s="81" t="str">
        <x:v>https://arxiv.org/abs/2510.16732</x:v>
      </x:c>
      <x:c r="G31" s="70" t="str">
        <x:v>Paper</x:v>
      </x:c>
      <x:c r="H31" s="80" t="str">
        <x:v>Pending</x:v>
      </x:c>
    </x:row>
    <x:row r="32" ht="72" customHeight="1">
      <x:c r="A32" s="79" t="n">
        <x:v>24</x:v>
      </x:c>
      <x:c r="B32" s="70" t="str">
        <x:v>wang2026manipwmsurvey</x:v>
      </x:c>
      <x:c r="C32" s="79" t="n">
        <x:v>2026</x:v>
      </x:c>
      <x:c r="D32" s="70" t="str">
        <x:v>F. Wang, Z. Wang, G. Pei, M. Zhang, C. Liang, J. Hu, Z. Li, J. Wu, N. Han, Z. Zhang, J. Qi, H. Wu, S. Zhang, P. Zheng, J. Pan, D. Navarro-Alarcon, S. Liu, and P. Zhou, “World models for robotic manipulation: A survey,” arXiv preprint arXiv:2606.00113, 2026.</x:v>
      </x:c>
      <x:c r="E32" s="70" t="str">
        <x:v>This manipulation-focused survey separates predicted representations, action coupling, and the stage at which prediction is used. It distinguishes integrated prediction-action systems from explicit planners and examines evaluation of predictive fidelity and control utility.</x:v>
      </x:c>
      <x:c r="F32" s="81" t="str">
        <x:v>https://arxiv.org/abs/2606.00113</x:v>
      </x:c>
      <x:c r="G32" s="70" t="str">
        <x:v>Paper</x:v>
      </x:c>
      <x:c r="H32" s="80" t="str">
        <x:v>Pending</x:v>
      </x:c>
    </x:row>
    <x:row r="33" ht="62" customHeight="1">
      <x:c r="A33" s="79" t="n">
        <x:v>25</x:v>
      </x:c>
      <x:c r="B33" s="70" t="str">
        <x:v>wamfrontier</x:v>
      </x:c>
      <x:c r="C33" s="79" t="n">
        <x:v>2026</x:v>
      </x:c>
      <x:c r="D33" s="70" t="str">
        <x:v>S. Wang, J. Shi, Z. Fu, X. He, F. Liu, C. Yang, Y. Zhou, Z. Fei, J. Gong, J. Fu, M. Z. Shou, X. Huang, X. Qiu, and Y.-G. Jiang, “World action models: The next frontier in embodied AI,” arXiv preprint arXiv:2605.12090, 2026.</x:v>
      </x:c>
      <x:c r="E33" s="70" t="str">
        <x:v>This survey describes world-action models as systems that combine predictive state modeling with action generation. It distinguishes cascaded and joint architectures and reviews their data requirements and evaluation dimensions.</x:v>
      </x:c>
      <x:c r="F33" s="81" t="str">
        <x:v>https://arxiv.org/abs/2605.12090</x:v>
      </x:c>
      <x:c r="G33" s="70" t="str">
        <x:v>Paper</x:v>
      </x:c>
      <x:c r="H33" s="80" t="str">
        <x:v>Pending</x:v>
      </x:c>
    </x:row>
    <x:row r="34" ht="62" customHeight="1">
      <x:c r="A34" s="79" t="n">
        <x:v>26</x:v>
      </x:c>
      <x:c r="B34" s="70" t="str">
        <x:v>wamsurvey</x:v>
      </x:c>
      <x:c r="C34" s="79" t="n">
        <x:v>2026</x:v>
      </x:c>
      <x:c r="D34" s="70" t="str">
        <x:v>Q. Shen, S. Zhang, Y. Liao, Q. Li, Z. Tan, S. Wang, others, and X. Wang, “World action models: A survey,” arXiv preprint arXiv:2606.20781, 2026.</x:v>
      </x:c>
      <x:c r="E34" s="70" t="str">
        <x:v>This survey distinguishes world-action models by the futures they generate and how prediction is connected to actions. It compares predictive representations, backbones, deployment modes, and the trade-offs between forecast detail and control cost.</x:v>
      </x:c>
      <x:c r="F34" s="81" t="str">
        <x:v>https://arxiv.org/abs/2606.20781</x:v>
      </x:c>
      <x:c r="G34" s="70" t="str">
        <x:v>Paper</x:v>
      </x:c>
      <x:c r="H34" s="80" t="str">
        <x:v>Pending</x:v>
      </x:c>
    </x:row>
    <x:row r="35" ht="62" customHeight="1">
      <x:c r="A35" s="79" t="n">
        <x:v>27</x:v>
      </x:c>
      <x:c r="B35" s="70" t="str">
        <x:v>sapkota2025</x:v>
      </x:c>
      <x:c r="C35" s="79" t="n">
        <x:v>2025</x:v>
      </x:c>
      <x:c r="D35" s="70" t="str">
        <x:v>R. Sapkota, Y. Cao, K. I. Roumeliotis, and M. Karkee, “Vision-language-action models: Concepts, progress, applications and challenges,” arXiv preprint arXiv:2505.04769, 2025.</x:v>
      </x:c>
      <x:c r="E35" s="70" t="str">
        <x:v>This review introduces VLA concepts and surveys architectures, training strategies, and inference methods. It examines applications across robotic domains and discusses adaptation and cross-embodiment planning challenges.</x:v>
      </x:c>
      <x:c r="F35" s="81" t="str">
        <x:v>https://arxiv.org/abs/2505.04769</x:v>
      </x:c>
      <x:c r="G35" s="70" t="str">
        <x:v>Paper</x:v>
      </x:c>
      <x:c r="H35" s="80" t="str">
        <x:v>Pending</x:v>
      </x:c>
    </x:row>
    <x:row r="36" ht="62" customHeight="1">
      <x:c r="A36" s="79" t="n">
        <x:v>28</x:v>
      </x:c>
      <x:c r="B36" s="70" t="str">
        <x:v>shao2025</x:v>
      </x:c>
      <x:c r="C36" s="79" t="n">
        <x:v>2025</x:v>
      </x:c>
      <x:c r="D36" s="70" t="str">
        <x:v>R. Shao, W. Li, L. Zhang, R. Zhang, Z. Liu, R. Chen, and L. Nie, “Large VLM-based vision-language-action models for robotic manipulation: A survey,” arXiv preprint arXiv:2508.13073, 2025.</x:v>
      </x:c>
      <x:c r="E36" s="70" t="str">
        <x:v>This survey focuses on manipulation policies built on large pretrained vision-language models. It distinguishes monolithic and hierarchical architectures and reviews connections with reinforcement learning, human video, and world models.</x:v>
      </x:c>
      <x:c r="F36" s="81" t="str">
        <x:v>https://arxiv.org/abs/2508.13073</x:v>
      </x:c>
      <x:c r="G36" s="70" t="str">
        <x:v>Paper</x:v>
      </x:c>
      <x:c r="H36" s="80" t="str">
        <x:v>Pending</x:v>
      </x:c>
    </x:row>
    <x:row r="37" ht="62" customHeight="1">
      <x:c r="A37" s="79" t="n">
        <x:v>29</x:v>
      </x:c>
      <x:c r="B37" s="70" t="str">
        <x:v>yu2025efficient</x:v>
      </x:c>
      <x:c r="C37" s="79" t="n">
        <x:v>2025</x:v>
      </x:c>
      <x:c r="D37" s="70" t="str">
        <x:v>Z. Yu, B. Wang, P. Zeng, H. Zhang, J. Zhang, Z. Wang, L. Gao, J. Song, N. Sebe, and H. T. Shen, “A survey on efficient vision-language-action models,” arXiv preprint arXiv:2510.24795, 2025.</x:v>
      </x:c>
      <x:c r="E37" s="70" t="str">
        <x:v>This survey organizes VLA efficiency research around model design, training, and robotic-data collection. It compares architectural compression and other resource-saving strategies across the learning and deployment pipeline.</x:v>
      </x:c>
      <x:c r="F37" s="81" t="str">
        <x:v>https://arxiv.org/abs/2510.24795</x:v>
      </x:c>
      <x:c r="G37" s="70" t="str">
        <x:v>Paper</x:v>
      </x:c>
      <x:c r="H37" s="80" t="str">
        <x:v>Pending</x:v>
      </x:c>
    </x:row>
    <x:row r="38" ht="62" customHeight="1">
      <x:c r="A38" s="79" t="n">
        <x:v>30</x:v>
      </x:c>
      <x:c r="B38" s="70" t="str">
        <x:v>deng2025rl</x:v>
      </x:c>
      <x:c r="C38" s="79" t="n">
        <x:v>2025</x:v>
      </x:c>
      <x:c r="D38" s="70" t="str">
        <x:v>Deng et al., “A survey on reinforcement learning of vision-language-action models for robotic manipulation,” TechRxiv, 2025.</x:v>
      </x:c>
      <x:c r="E38" s="70" t="str">
        <x:v>This survey reviews reinforcement learning for adapting pretrained VLA models to robotic manipulation. It organizes architectures, online and offline learning, deployment considerations, and evaluation within a shared training-to-deployment framework.</x:v>
      </x:c>
      <x:c r="F38" s="81" t="str">
        <x:v>https://doi.org/10.36227/techrxiv.176531955.54563920/v1</x:v>
      </x:c>
      <x:c r="G38" s="70" t="str">
        <x:v>Paper</x:v>
      </x:c>
      <x:c r="H38" s="80" t="str">
        <x:v>Pending</x:v>
      </x:c>
    </x:row>
    <x:row r="39" ht="62" customHeight="1">
      <x:c r="A39" s="79" t="n">
        <x:v>31</x:v>
      </x:c>
      <x:c r="B39" s="70" t="str">
        <x:v>feng2025</x:v>
      </x:c>
      <x:c r="C39" s="79" t="n">
        <x:v>2025</x:v>
      </x:c>
      <x:c r="D39" s="70" t="str">
        <x:v>T. Feng, X. Wang, Y.-G. Jiang, and W. Zhu, “Embodied AI: From LLMs to world models,” IEEE Circuits Syst. Mag., vol. 25, no. 4, pp. 14–37, 2025, arXiv:2509.20021.</x:v>
      </x:c>
      <x:c r="E39" s="70" t="str">
        <x:v>This review contrasts the semantic reasoning provided by language models with the predictive capabilities of world models in embodied AI. It argues for combining these capabilities and surveys supporting technologies, hardware, and applications.</x:v>
      </x:c>
      <x:c r="F39" s="81" t="str">
        <x:v>https://arxiv.org/abs/2509.20021</x:v>
      </x:c>
      <x:c r="G39" s="70" t="str">
        <x:v>Paper</x:v>
      </x:c>
      <x:c r="H39" s="80" t="str">
        <x:v>Pending</x:v>
      </x:c>
    </x:row>
    <x:row r="40" ht="62" customHeight="1">
      <x:c r="A40" s="79" t="n">
        <x:v>32</x:v>
      </x:c>
      <x:c r="B40" s="70" t="str">
        <x:v>zhang2025generative</x:v>
      </x:c>
      <x:c r="C40" s="79" t="n">
        <x:v>2025</x:v>
      </x:c>
      <x:c r="D40" s="70" t="str">
        <x:v>K. Zhang, P. Yun, J. Cen, J. Cai, D. Zhu, H. Yuan, C. Zhao, T. Feng, M. Y. Wang, Q. Chen et al., “Generative artificial intelligence in robotic manipulation: A survey,” arXiv preprint arXiv:2503.03464, 2025.</x:v>
      </x:c>
      <x:c r="E40" s="70" t="str">
        <x:v>This survey reviews generative models used for robotic data, rewards, intermediate plans, and control outputs. Its layered taxonomy relates data generation and task reasoning to grasp and trajectory generation.</x:v>
      </x:c>
      <x:c r="F40" s="81" t="str">
        <x:v>https://arxiv.org/abs/2503.03464</x:v>
      </x:c>
      <x:c r="G40" s="70" t="str">
        <x:v>Paper</x:v>
      </x:c>
      <x:c r="H40" s="80" t="str">
        <x:v>Pending</x:v>
      </x:c>
    </x:row>
    <x:row r="41" ht="72" customHeight="1">
      <x:c r="A41" s="79" t="n">
        <x:v>33</x:v>
      </x:c>
      <x:c r="B41" s="70" t="str">
        <x:v>ding2025worldsurvey</x:v>
      </x:c>
      <x:c r="C41" s="79" t="n">
        <x:v>2025</x:v>
      </x:c>
      <x:c r="D41" s="70" t="str">
        <x:v>J. Ding, Y. Zhang, Y. Shang, Y. Zhang, Z. Zong, J. Feng, Y. Yuan, H. Su, N. Li, N. Sukiennik et al., “Understanding world or predicting future? A comprehensive survey of world models,” ACM Comput. Surv., vol. 58, no. 3, pp. 1–38, 2025.</x:v>
      </x:c>
      <x:c r="E41" s="70" t="str">
        <x:v>This survey distinguishes world models that construct internal representations from those that simulate future states. It reviews these roles across robotics, autonomous driving, and other domains and identifies open modeling challenges.</x:v>
      </x:c>
      <x:c r="F41" s="81" t="str">
        <x:v>https://doi.org/10.1145/3746449</x:v>
      </x:c>
      <x:c r="G41" s="70" t="str">
        <x:v>Paper</x:v>
      </x:c>
      <x:c r="H41" s="80" t="str">
        <x:v>Pending</x:v>
      </x:c>
    </x:row>
    <x:row r="42" ht="62" customHeight="1">
      <x:c r="A42" s="79" t="n">
        <x:v>34</x:v>
      </x:c>
      <x:c r="B42" s="70" t="str">
        <x:v>li2025step</x:v>
      </x:c>
      <x:c r="C42" s="79" t="n">
        <x:v>2025</x:v>
      </x:c>
      <x:c r="D42" s="70" t="str">
        <x:v>X. Li et al., “A step toward world models: A survey on robotic manipulation,” arXiv preprint arXiv:2511.02097, 2025.</x:v>
      </x:c>
      <x:c r="E42" s="70" t="str">
        <x:v>This survey examines manipulation methods that exhibit world-model capabilities, including approaches not explicitly labeled as world models. It uses their roles in perception, prediction, and control to identify the components needed for broader predictive robotics.</x:v>
      </x:c>
      <x:c r="F42" s="81" t="str">
        <x:v>https://arxiv.org/abs/2511.02097</x:v>
      </x:c>
      <x:c r="G42" s="70" t="str">
        <x:v>Paper</x:v>
      </x:c>
      <x:c r="H42" s="80" t="str">
        <x:v>Pending</x:v>
      </x:c>
    </x:row>
    <x:row r="43" ht="72" customHeight="1">
      <x:c r="A43" s="79" t="n">
        <x:v>35</x:v>
      </x:c>
      <x:c r="B43" s="70" t="str">
        <x:v>jiang2025driving</x:v>
      </x:c>
      <x:c r="C43" s="79" t="n">
        <x:v>2025</x:v>
      </x:c>
      <x:c r="D43" s="70" t="str">
        <x:v>Jiang et al., “A survey on vision-language-action models for autonomous driving,” in Proc. IEEE/CVF Int. Conf. Comput. Vis. Workshops (ICCVW), WDFM-AD, 2025.</x:v>
      </x:c>
      <x:c r="E43" s="70" t="str">
        <x:v>This survey reviews vision-language-action architectures for autonomous driving, including their progression toward reasoning-centered control. It compares vehicle-domain datasets and evaluation concerns such as safety, instruction following, and explanation quality.</x:v>
      </x:c>
      <x:c r="F43" s="81" t="str">
        <x:v>https://openaccess.thecvf.com/content/ICCV2025W/WDFM-AD/html/Jiang_A_Survey_on_Vision-Language-Action_Models_for_Autonomous_Driving_ICCVW_2025_paper.html</x:v>
      </x:c>
      <x:c r="G43" s="70" t="str">
        <x:v>Paper</x:v>
      </x:c>
      <x:c r="H43" s="80" t="str">
        <x:v>Pending</x:v>
      </x:c>
    </x:row>
    <x:row r="44" ht="62" customHeight="1">
      <x:c r="A44" s="79" t="n">
        <x:v>36</x:v>
      </x:c>
      <x:c r="B44" s="70" t="str">
        <x:v>zhang2025pure</x:v>
      </x:c>
      <x:c r="C44" s="79" t="n">
        <x:v>2025</x:v>
      </x:c>
      <x:c r="D44" s="70" t="str">
        <x:v>D. Zhang, J. Sun, C. Hu, X. Wu, Z. Yuan, R. Zhou, F. Shen, and Q. Zhou, “Pure vision language action (VLA) models: A comprehensive survey,” arXiv preprint arXiv:2509.19012, 2025.</x:v>
      </x:c>
      <x:c r="E44" s="70" t="str">
        <x:v>This survey classifies VLA methods into autoregressive, diffusion, reinforcement-learning, hybrid, and specialized approaches. It connects these design choices to application scenarios, datasets, benchmarks, and simulators.</x:v>
      </x:c>
      <x:c r="F44" s="81" t="str">
        <x:v>https://arxiv.org/abs/2509.19012</x:v>
      </x:c>
      <x:c r="G44" s="70" t="str">
        <x:v>Paper</x:v>
      </x:c>
      <x:c r="H44" s="80" t="str">
        <x:v>Pending</x:v>
      </x:c>
    </x:row>
    <x:row r="45" ht="72" customHeight="1">
      <x:c r="A45" s="79" t="n">
        <x:v>37</x:v>
      </x:c>
      <x:c r="B45" s="70" t="str">
        <x:v>prisma2020</x:v>
      </x:c>
      <x:c r="C45" s="79" t="n">
        <x:v>2021</x:v>
      </x:c>
      <x:c r="D45" s="70" t="str">
        <x:v>M. J. Page, J. E. McKenzie, P. M. Bossuyt, I. Boutron, T. C. Hoffmann, C. D. Mulrow, L. Shamseer, J. M. Tetzlaff, E. A. Akl, S. E. Brennan et al., “The PRISMA 2020 statement: An updated guideline for reporting systematic reviews,” BMJ, vol. 372, p. n71, 2021.</x:v>
      </x:c>
      <x:c r="E45" s="70" t="str">
        <x:v>The PRISMA 2020 statement provides reporting guidance for systematic reviews through checklists and flow-diagram templates. It supports transparent reporting of searches, selection, synthesis, and limitations rather than certifying that a review was conducted correctly.</x:v>
      </x:c>
      <x:c r="F45" s="81" t="str">
        <x:v>https://doi.org/10.1136/bmj.n71</x:v>
      </x:c>
      <x:c r="G45" s="70" t="str">
        <x:v>Paper</x:v>
      </x:c>
      <x:c r="H45" s="80" t="str">
        <x:v>Pending</x:v>
      </x:c>
    </x:row>
    <x:row r="46" ht="72" customHeight="1">
      <x:c r="A46" s="79" t="n">
        <x:v>38</x:v>
      </x:c>
      <x:c r="B46" s="70" t="str">
        <x:v>rt1</x:v>
      </x:c>
      <x:c r="C46" s="79" t="n">
        <x:v>2022</x:v>
      </x:c>
      <x:c r="D46" s="70" t="str">
        <x:v>A. Brohan, N. Brown, J. Carbajal, Y. Chebotar, J. Dabis, C. Finn, K. Gopalakrishnan, K. Hausman, A. Herzog, J. Hsu et al., “RT-1: Robotics transformer for real-world control at scale,” arXiv preprint arXiv:2212.06817, 2022, published RSS 2023.</x:v>
      </x:c>
      <x:c r="E46" s="70" t="str">
        <x:v>RT-1 maps camera observations and language instructions to discretized robot commands using a transformer policy. It is an early language-conditioned control precursor to later VLA foundation models.</x:v>
      </x:c>
      <x:c r="F46" s="81" t="str">
        <x:v>https://arxiv.org/abs/2212.06817</x:v>
      </x:c>
      <x:c r="G46" s="70" t="str">
        <x:v>Paper</x:v>
      </x:c>
      <x:c r="H46" s="80" t="str">
        <x:v>Pending</x:v>
      </x:c>
    </x:row>
    <x:row r="47" ht="72" customHeight="1">
      <x:c r="A47" s="79" t="n">
        <x:v>39</x:v>
      </x:c>
      <x:c r="B47" s="70" t="str">
        <x:v>vima</x:v>
      </x:c>
      <x:c r="C47" s="79" t="n">
        <x:v>2023</x:v>
      </x:c>
      <x:c r="D47" s="70" t="str">
        <x:v>Y. Jiang, A. Gupta, Z. Zhang, G. Wang, Y. Dou, Y. Chen, L. Fei-Fei, A. Anandkumar, Y. Zhu, and L. Fan, “VIMA: General robot manipulation with multimodal prompts,” in International Conference on Machine Learning (ICML), 2023, arXiv:2210.03094.</x:v>
      </x:c>
      <x:c r="E47" s="70" t="str">
        <x:v>VIMA specifies manipulation tasks using prompts that interleave text and images. A transformer policy converts these multimodal task descriptions and observations into robot actions.</x:v>
      </x:c>
      <x:c r="F47" s="81" t="str">
        <x:v>https://arxiv.org/abs/2210.03094</x:v>
      </x:c>
      <x:c r="G47" s="70" t="str">
        <x:v>Paper</x:v>
      </x:c>
      <x:c r="H47" s="80" t="str">
        <x:v>Pending</x:v>
      </x:c>
    </x:row>
    <x:row r="48" ht="72" customHeight="1">
      <x:c r="A48" s="79" t="n">
        <x:v>40</x:v>
      </x:c>
      <x:c r="B48" s="70" t="str">
        <x:v>roboflamingo</x:v>
      </x:c>
      <x:c r="C48" s="79" t="n">
        <x:v>2024</x:v>
      </x:c>
      <x:c r="D48" s="70" t="str">
        <x:v>X. Li, M. Liu, H. Zhang, C. Yu, J. Xu, H. Wu, C. Cheang, Y. Jing, W. Zhang, H. Liu et al., “Vision-language foundation models as effective robot imitators,” in Proc. Int. Conf. Learn. Representations (ICLR), 2024, arXiv:2311.01378.</x:v>
      </x:c>
      <x:c r="E48" s="70" t="str">
        <x:v>RoboFlamingo adapts a pretrained OpenFlamingo vision-language model for robot imitation learning. An action-prediction interface connects multimodal understanding to language-conditioned manipulation.</x:v>
      </x:c>
      <x:c r="F48" s="81" t="str">
        <x:v>https://arxiv.org/abs/2311.01378</x:v>
      </x:c>
      <x:c r="G48" s="70" t="str">
        <x:v>Paper</x:v>
      </x:c>
      <x:c r="H48" s="80" t="str">
        <x:v>Pending</x:v>
      </x:c>
    </x:row>
    <x:row r="49" ht="62" customHeight="1">
      <x:c r="A49" s="79" t="n">
        <x:v>41</x:v>
      </x:c>
      <x:c r="B49" s="70" t="str">
        <x:v>llarva</x:v>
      </x:c>
      <x:c r="C49" s="79" t="n">
        <x:v>2024</x:v>
      </x:c>
      <x:c r="D49" s="70" t="str">
        <x:v>D. Niu, Y. Sharma, G. Biamby, J. Quenum, Y. Bai, B. Shi, T. Darrell, and R. Herzig, “LLARVA: Vision-action instruction tuning enhances robot learning,” in Proc. Conf. Robot Learn. (CoRL), 2024, arXiv:2406.11815.</x:v>
      </x:c>
      <x:c r="E49" s="70" t="str">
        <x:v>LLARVA uses vision-action instruction tuning with intermediate two-dimensional visual traces. These traces help align multimodal representations with the robot behaviors learned during adaptation.</x:v>
      </x:c>
      <x:c r="F49" s="81" t="str">
        <x:v>https://arxiv.org/abs/2406.11815</x:v>
      </x:c>
      <x:c r="G49" s="70" t="str">
        <x:v>Paper</x:v>
      </x:c>
      <x:c r="H49" s="80" t="str">
        <x:v>Pending</x:v>
      </x:c>
    </x:row>
    <x:row r="50" ht="62" customHeight="1">
      <x:c r="A50" s="79" t="n">
        <x:v>42</x:v>
      </x:c>
      <x:c r="B50" s="70" t="str">
        <x:v>lapa</x:v>
      </x:c>
      <x:c r="C50" s="79" t="n">
        <x:v>2025</x:v>
      </x:c>
      <x:c r="D50" s="70" t="str">
        <x:v>S. Ye, J. Jang, B. Jeon, S. Joo, J. Yang, B. Peng, A. Mandlekar, R. Tan et al., “Latent action pretraining from videos,” in International Conference on Learning Representations (ICLR), 2025, arXiv:2410.11758.</x:v>
      </x:c>
      <x:c r="E50" s="70" t="str">
        <x:v>LAPA learns latent action representations from video without ground-truth action labels during pretraining. Robot data subsequently maps the pretrained policy into executable robot actions.</x:v>
      </x:c>
      <x:c r="F50" s="81" t="str">
        <x:v>https://arxiv.org/abs/2410.11758</x:v>
      </x:c>
      <x:c r="G50" s="70" t="str">
        <x:v>Paper</x:v>
      </x:c>
      <x:c r="H50" s="80" t="str">
        <x:v>Pending</x:v>
      </x:c>
    </x:row>
    <x:row r="51" ht="72" customHeight="1">
      <x:c r="A51" s="79" t="n">
        <x:v>43</x:v>
      </x:c>
      <x:c r="B51" s="70" t="str">
        <x:v>fast</x:v>
      </x:c>
      <x:c r="C51" s="79" t="n">
        <x:v>2025</x:v>
      </x:c>
      <x:c r="D51" s="70" t="str">
        <x:v>K. Pertsch, K. Stachowicz, B. Ichter, D. Driess, S. Nair, Q. Vuong, O. Mees, C. Finn, and S. Levine, “FAST: Efficient action tokenization for vision-language-action models,” in Proc. Robot.: Sci. Syst. (RSS), 2025, arXiv:2501.09747.</x:v>
      </x:c>
      <x:c r="E51" s="70" t="str">
        <x:v>FAST compresses continuous action chunks into frequency-domain tokens for autoregressive prediction. The π0-FAST policy demonstrates how this representation can support action generation for dexterous control.</x:v>
      </x:c>
      <x:c r="F51" s="81" t="str">
        <x:v>https://arxiv.org/abs/2501.09747</x:v>
      </x:c>
      <x:c r="G51" s="70" t="str">
        <x:v>Paper</x:v>
      </x:c>
      <x:c r="H51" s="80" t="str">
        <x:v>Pending</x:v>
      </x:c>
    </x:row>
    <x:row r="52" ht="62" customHeight="1">
      <x:c r="A52" s="79" t="n">
        <x:v>44</x:v>
      </x:c>
      <x:c r="B52" s="70" t="str">
        <x:v>ddvla</x:v>
      </x:c>
      <x:c r="C52" s="79" t="n">
        <x:v>2025</x:v>
      </x:c>
      <x:c r="D52" s="70" t="str">
        <x:v>Liang et al., “Discrete diffusion VLA: Bringing discrete diffusion to action decoding in vision-language-action policies,” arXiv preprint arXiv:2508.20072, 2025.</x:v>
      </x:c>
      <x:c r="E52" s="70" t="str">
        <x:v>Discrete Diffusion VLA generates discretized action chunks through iterative diffusion-style refinement within a shared transformer. It explores parallel action decoding as an alternative to sequential autoregressive generation.</x:v>
      </x:c>
      <x:c r="F52" s="81" t="str">
        <x:v>https://arxiv.org/abs/2508.20072</x:v>
      </x:c>
      <x:c r="G52" s="70" t="str">
        <x:v>Paper</x:v>
      </x:c>
      <x:c r="H52" s="80" t="str">
        <x:v>Pending</x:v>
      </x:c>
    </x:row>
    <x:row r="53" ht="62" customHeight="1">
      <x:c r="A53" s="79" t="n">
        <x:v>45</x:v>
      </x:c>
      <x:c r="B53" s="70" t="str">
        <x:v>octo</x:v>
      </x:c>
      <x:c r="C53" s="79" t="n">
        <x:v>2024</x:v>
      </x:c>
      <x:c r="D53" s="70" t="str">
        <x:v>Octo Model Team, D. Ghosh, H. Walke, K. Pertsch, K. Black, O. Mees, S. Dasari, J. Hejna, T. Kreiman, C. Xu et al., “Octo: An open-source generalist robot policy,” in Proc. Robot.: Sci. Syst. (RSS), 2024, arXiv:2405.12213.</x:v>
      </x:c>
      <x:c r="E53" s="70" t="str">
        <x:v>Octo is an open generalist robot policy with a diffusion action head and language- or image-goal conditioning. Its adaptation interface accommodates new observation inputs and robot action spaces.</x:v>
      </x:c>
      <x:c r="F53" s="81" t="str">
        <x:v>https://arxiv.org/abs/2405.12213</x:v>
      </x:c>
      <x:c r="G53" s="70" t="str">
        <x:v>Paper</x:v>
      </x:c>
      <x:c r="H53" s="80" t="str">
        <x:v>Pending</x:v>
      </x:c>
    </x:row>
    <x:row r="54" ht="62" customHeight="1">
      <x:c r="A54" s="79" t="n">
        <x:v>46</x:v>
      </x:c>
      <x:c r="B54" s="70" t="str">
        <x:v>rdt1b</x:v>
      </x:c>
      <x:c r="C54" s="79" t="n">
        <x:v>2024</x:v>
      </x:c>
      <x:c r="D54" s="70" t="str">
        <x:v>S. Liu, L. Wu, B. Li, H. Tan, H. Chen, Z. Wang, K. Xu, H. Su, and J. Zhu, “RDT-1B: A diffusion foundation model for bimanual manipulation,” arXiv preprint arXiv:2410.07864, 2024, published ICLR 2025.</x:v>
      </x:c>
      <x:c r="E54" s="70" t="str">
        <x:v>RDT-1B uses a diffusion transformer to generate bimanual robot actions conditioned on multimodal inputs. A unified action representation supports learning from robots with different configurations.</x:v>
      </x:c>
      <x:c r="F54" s="81" t="str">
        <x:v>https://arxiv.org/abs/2410.07864</x:v>
      </x:c>
      <x:c r="G54" s="70" t="str">
        <x:v>Paper</x:v>
      </x:c>
      <x:c r="H54" s="80" t="str">
        <x:v>Pending</x:v>
      </x:c>
    </x:row>
    <x:row r="55" ht="62" customHeight="1">
      <x:c r="A55" s="79" t="n">
        <x:v>47</x:v>
      </x:c>
      <x:c r="B55" s="70" t="str">
        <x:v>cogact</x:v>
      </x:c>
      <x:c r="C55" s="79" t="n">
        <x:v>2024</x:v>
      </x:c>
      <x:c r="D55" s="70" t="str">
        <x:v>Q. Li et al., “CogACT: A foundational vision-language-action model for synergizing cognition and action in robotic manipulation,” arXiv preprint arXiv:2411.19650, 2024.</x:v>
      </x:c>
      <x:c r="E55" s="70" t="str">
        <x:v>CogACT couples a vision-language backbone to a specialized diffusion action transformer. This separation connects semantic interpretation with continuous manipulation commands.</x:v>
      </x:c>
      <x:c r="F55" s="81" t="str">
        <x:v>https://arxiv.org/abs/2411.19650</x:v>
      </x:c>
      <x:c r="G55" s="70" t="str">
        <x:v>Paper</x:v>
      </x:c>
      <x:c r="H55" s="80" t="str">
        <x:v>Pending</x:v>
      </x:c>
    </x:row>
    <x:row r="56" ht="62" customHeight="1">
      <x:c r="A56" s="79" t="n">
        <x:v>48</x:v>
      </x:c>
      <x:c r="B56" s="70" t="str">
        <x:v>dexvla</x:v>
      </x:c>
      <x:c r="C56" s="79" t="n">
        <x:v>2025</x:v>
      </x:c>
      <x:c r="D56" s="70" t="str">
        <x:v>J. Wen, Y. Zhu, J. Li, Z. Tang, C. Shen, and F. Feng, “DexVLA: Vision-language model with plug-in diffusion expert for general robot control,” arXiv preprint arXiv:2502.05855, 2025.</x:v>
      </x:c>
      <x:c r="E56" s="70" t="str">
        <x:v>DexVLA connects a vision-language backbone to a pretrained diffusion action expert. Its staged training adapts the action-generation component across tasks and robot embodiments.</x:v>
      </x:c>
      <x:c r="F56" s="81" t="str">
        <x:v>https://arxiv.org/abs/2502.05855</x:v>
      </x:c>
      <x:c r="G56" s="70" t="str">
        <x:v>Paper</x:v>
      </x:c>
      <x:c r="H56" s="80" t="str">
        <x:v>Pending</x:v>
      </x:c>
    </x:row>
    <x:row r="57" ht="62" customHeight="1">
      <x:c r="A57" s="79" t="n">
        <x:v>49</x:v>
      </x:c>
      <x:c r="B57" s="70" t="str">
        <x:v>act</x:v>
      </x:c>
      <x:c r="C57" s="79" t="n">
        <x:v>2023</x:v>
      </x:c>
      <x:c r="D57" s="70" t="str">
        <x:v>T. Z. Zhao, V. Kumar, S. Levine, and C. Finn, “Learning fine-grained bimanual manipulation with low-cost hardware,” in Robotics: Science and Systems (RSS), 2023, arXiv:2304.13705.</x:v>
      </x:c>
      <x:c r="E57" s="70" t="str">
        <x:v>This paper introduces the ALOHA teleoperation platform and Action Chunking with Transformers for bimanual imitation learning. Predicting sequences of actions provides a control precedent for later chunk-based VLA policies.</x:v>
      </x:c>
      <x:c r="F57" s="81" t="str">
        <x:v>https://arxiv.org/abs/2304.13705</x:v>
      </x:c>
      <x:c r="G57" s="70" t="str">
        <x:v>Paper</x:v>
      </x:c>
      <x:c r="H57" s="80" t="str">
        <x:v>Pending</x:v>
      </x:c>
    </x:row>
    <x:row r="58" ht="62" customHeight="1">
      <x:c r="A58" s="79" t="n">
        <x:v>50</x:v>
      </x:c>
      <x:c r="B58" s="70" t="str">
        <x:v>mobilealoha</x:v>
      </x:c>
      <x:c r="C58" s="79" t="n">
        <x:v>2024</x:v>
      </x:c>
      <x:c r="D58" s="70" t="str">
        <x:v>Z. Fu, T. Z. Zhao, and C. Finn, “Mobile ALOHA: Learning bimanual mobile manipulation with low-cost whole-body teleoperation,” in Conference on Robot Learning (CoRL), 2024, arXiv:2401.02117.</x:v>
      </x:c>
      <x:c r="E58" s="70" t="str">
        <x:v>Mobile ALOHA combines whole-body teleoperation with imitation learning for mobile bimanual manipulation. It extends demonstration-based control to coordinated base and arm motions.</x:v>
      </x:c>
      <x:c r="F58" s="81" t="str">
        <x:v>https://arxiv.org/abs/2401.02117</x:v>
      </x:c>
      <x:c r="G58" s="70" t="str">
        <x:v>Paper</x:v>
      </x:c>
      <x:c r="H58" s="80" t="str">
        <x:v>Pending</x:v>
      </x:c>
    </x:row>
    <x:row r="59" ht="62" customHeight="1">
      <x:c r="A59" s="79" t="n">
        <x:v>51</x:v>
      </x:c>
      <x:c r="B59" s="70" t="str">
        <x:v>diffusionpolicy</x:v>
      </x:c>
      <x:c r="C59" s="79" t="n">
        <x:v>2023</x:v>
      </x:c>
      <x:c r="D59" s="70" t="str">
        <x:v>C. Chi, Z. Xu, S. Feng, E. Cousineau, Y. Du, B. Burchfiel, R. Tedrake, and S. Song, “Diffusion policy: Visuomotor policy learning via action diffusion,” in Proc. Robot.: Sci. Syst. (RSS), 2023, arXiv:2303.04137.</x:v>
      </x:c>
      <x:c r="E59" s="70" t="str">
        <x:v>Diffusion Policy models visuomotor action sequences through conditional denoising diffusion. Receding-horizon execution makes it a control foundation for later diffusion-based robot policies.</x:v>
      </x:c>
      <x:c r="F59" s="81" t="str">
        <x:v>https://arxiv.org/abs/2303.04137</x:v>
      </x:c>
      <x:c r="G59" s="70" t="str">
        <x:v>Paper</x:v>
      </x:c>
      <x:c r="H59" s="80" t="str">
        <x:v>Pending</x:v>
      </x:c>
    </x:row>
    <x:row r="60" ht="72" customHeight="1">
      <x:c r="A60" s="79" t="n">
        <x:v>52</x:v>
      </x:c>
      <x:c r="B60" s="70" t="str">
        <x:v>pi05</x:v>
      </x:c>
      <x:c r="C60" s="79" t="n">
        <x:v>2025</x:v>
      </x:c>
      <x:c r="D60" s="70" t="str">
        <x:v>Physical Intelligence, K. Black, N. Brown, J. Darpinian, K. Dhabalia, D. Driess, A. Esmail, M. Equi, C. Finn, N. Fusai et al., “π0.5: A vision-language-action model with open-world generalization,” arXiv preprint arXiv:2504.16054, 2025.</x:v>
      </x:c>
      <x:c r="E60" s="70" t="str">
        <x:v>The π0.5 model extends π0 through heterogeneous co-training and hierarchical task conditioning. It studies language-conditioned manipulation in settings beyond familiar training environments.</x:v>
      </x:c>
      <x:c r="F60" s="81" t="str">
        <x:v>https://arxiv.org/abs/2504.16054</x:v>
      </x:c>
      <x:c r="G60" s="70" t="str">
        <x:v>Paper</x:v>
      </x:c>
      <x:c r="H60" s="80" t="str">
        <x:v>Pending</x:v>
      </x:c>
    </x:row>
    <x:row r="61" ht="62" customHeight="1">
      <x:c r="A61" s="79" t="n">
        <x:v>53</x:v>
      </x:c>
      <x:c r="B61" s="70" t="str">
        <x:v>helix</x:v>
      </x:c>
      <x:c r="C61" s="79" t="n">
        <x:v>2025</x:v>
      </x:c>
      <x:c r="D61" s="70" t="str">
        <x:v>Figure AI, “Helix: A vision-language-action model for generalist humanoid control,” Figure AI technical blog, , 2025.</x:v>
      </x:c>
      <x:c r="E61" s="70" t="str">
        <x:v>Helix combines a slower vision-language component with a faster continuous-action controller for humanoid upper-body manipulation. The cited vendor release describes this dual-system architecture and its demonstrated behaviors.</x:v>
      </x:c>
      <x:c r="F61" s="81" t="str">
        <x:v>https://www.figure.ai/news/helix</x:v>
      </x:c>
      <x:c r="G61" s="70" t="str">
        <x:v>Technical release / software</x:v>
      </x:c>
      <x:c r="H61" s="80" t="str">
        <x:v>Pending</x:v>
      </x:c>
    </x:row>
    <x:row r="62" ht="72" customHeight="1">
      <x:c r="A62" s="79" t="n">
        <x:v>54</x:v>
      </x:c>
      <x:c r="B62" s="70" t="str">
        <x:v>saycan</x:v>
      </x:c>
      <x:c r="C62" s="79" t="n">
        <x:v>2022</x:v>
      </x:c>
      <x:c r="D62" s="70" t="str">
        <x:v>M. Ahn, A. Brohan, N. Brown, Y. Chebotar, O. Cortes, B. David, C. Finn, C. Fu, K. Gopalakrishnan, K. Hausman et al., “Do as I can, not as I say: Grounding language in robotic affordances,” in Proc. Conf. Robot Learn. (CoRL), 2022, arXiv:2204.01691.</x:v>
      </x:c>
      <x:c r="E62" s="70" t="str">
        <x:v>SayCan combines language-model task suggestions with learned skill-value estimates. It uses these estimates to select behaviors that are both instruction-relevant and physically feasible.</x:v>
      </x:c>
      <x:c r="F62" s="81" t="str">
        <x:v>https://arxiv.org/abs/2204.01691</x:v>
      </x:c>
      <x:c r="G62" s="70" t="str">
        <x:v>Paper</x:v>
      </x:c>
      <x:c r="H62" s="80" t="str">
        <x:v>Pending</x:v>
      </x:c>
    </x:row>
    <x:row r="63" ht="72" customHeight="1">
      <x:c r="A63" s="79" t="n">
        <x:v>55</x:v>
      </x:c>
      <x:c r="B63" s="70" t="str">
        <x:v>palme</x:v>
      </x:c>
      <x:c r="C63" s="79" t="n">
        <x:v>2023</x:v>
      </x:c>
      <x:c r="D63" s="70" t="str">
        <x:v>D. Driess, F. Xia, M. S. M. Sajjadi, C. Lynch, A. Chowdhery, B. Ichter, A. Wahid, J. Tompson, Q. Vuong, T. Yu et al., “PaLM-E: An embodied multimodal language model,” in Proc. Int. Conf. Mach. Learn. (ICML), 2023, arXiv:2303.03378.</x:v>
      </x:c>
      <x:c r="E63" s="70" t="str">
        <x:v>PaLM-E incorporates visual observations and continuous sensor information into an embodied language model. It supports multimodal reasoning and high-level robot planning.</x:v>
      </x:c>
      <x:c r="F63" s="81" t="str">
        <x:v>https://arxiv.org/abs/2303.03378</x:v>
      </x:c>
      <x:c r="G63" s="70" t="str">
        <x:v>Paper</x:v>
      </x:c>
      <x:c r="H63" s="80" t="str">
        <x:v>Pending</x:v>
      </x:c>
    </x:row>
    <x:row r="64" ht="62" customHeight="1">
      <x:c r="A64" s="79" t="n">
        <x:v>56</x:v>
      </x:c>
      <x:c r="B64" s="70" t="str">
        <x:v>rth</x:v>
      </x:c>
      <x:c r="C64" s="79" t="n">
        <x:v>2024</x:v>
      </x:c>
      <x:c r="D64" s="70" t="str">
        <x:v>S. Belkhale, T. Ding, T. Xiao, P. Sermanet, Q. Vuong, J. Tompson, Y. Chebotar, D. Dwibedi, and D. Sadigh, “RT-H: Action hierarchies using language,” in Proc. Robot.: Sci. Syst. (RSS), 2024, arXiv:2403.01823.</x:v>
      </x:c>
      <x:c r="E64" s="70" t="str">
        <x:v>RT-H inserts a language-based action hierarchy between task instructions and low-level robot commands. Intermediate motion descriptions organize execution and provide a structured interface for control.</x:v>
      </x:c>
      <x:c r="F64" s="81" t="str">
        <x:v>https://arxiv.org/abs/2403.01823</x:v>
      </x:c>
      <x:c r="G64" s="70" t="str">
        <x:v>Paper</x:v>
      </x:c>
      <x:c r="H64" s="80" t="str">
        <x:v>Pending</x:v>
      </x:c>
    </x:row>
    <x:row r="65" ht="72" customHeight="1">
      <x:c r="A65" s="79" t="n">
        <x:v>57</x:v>
      </x:c>
      <x:c r="B65" s="70" t="str">
        <x:v>codeaspolicies</x:v>
      </x:c>
      <x:c r="C65" s="79" t="n">
        <x:v>2023</x:v>
      </x:c>
      <x:c r="D65" s="70" t="str">
        <x:v>J. Liang, W. Huang, F. Xia, P. Xu, K. Hausman, B. Ichter, P. Florence, and A. Zeng, “Code as policies: Language model programs for embodied control,” in IEEE International Conference on Robotics and Automation (ICRA), 2023, arXiv:2209.07753.</x:v>
      </x:c>
      <x:c r="E65" s="70" t="str">
        <x:v>Code as Policies generates robot-control programs from natural-language instructions. The generated programs connect perception outputs, control APIs, and feedback to executable behaviors.</x:v>
      </x:c>
      <x:c r="F65" s="81" t="str">
        <x:v>https://arxiv.org/abs/2209.07753</x:v>
      </x:c>
      <x:c r="G65" s="70" t="str">
        <x:v>Paper</x:v>
      </x:c>
      <x:c r="H65" s="80" t="str">
        <x:v>Pending</x:v>
      </x:c>
    </x:row>
    <x:row r="66" ht="62" customHeight="1">
      <x:c r="A66" s="79" t="n">
        <x:v>58</x:v>
      </x:c>
      <x:c r="B66" s="70" t="str">
        <x:v>voxposer</x:v>
      </x:c>
      <x:c r="C66" s="79" t="n">
        <x:v>2023</x:v>
      </x:c>
      <x:c r="D66" s="70" t="str">
        <x:v>W. Huang, C. Wang, R. Zhang, Y. Li, J. Wu, and L. Fei-Fei, “VoxPoser: Composable 3D value maps for robotic manipulation with language models,” in Conference on Robot Learning (CoRL), 2023, arXiv:2307.05973.</x:v>
      </x:c>
      <x:c r="E66" s="70" t="str">
        <x:v>VoxPoser converts language and visual information into composable three-dimensional value maps. These maps guide motion planning for manipulation instead of directly predicting motor commands from a single policy head.</x:v>
      </x:c>
      <x:c r="F66" s="81" t="str">
        <x:v>https://arxiv.org/abs/2307.05973</x:v>
      </x:c>
      <x:c r="G66" s="70" t="str">
        <x:v>Paper</x:v>
      </x:c>
      <x:c r="H66" s="80" t="str">
        <x:v>Pending</x:v>
      </x:c>
    </x:row>
    <x:row r="67" ht="62" customHeight="1">
      <x:c r="A67" s="79" t="n">
        <x:v>59</x:v>
      </x:c>
      <x:c r="B67" s="70" t="str">
        <x:v>hirobot</x:v>
      </x:c>
      <x:c r="C67" s="79" t="n">
        <x:v>2025</x:v>
      </x:c>
      <x:c r="D67" s="70" t="str">
        <x:v>L. X. Shi et al., “Hi robot: Open-ended instruction following with hierarchical vision-language-action models,” arXiv preprint arXiv:2502.19417, 2025.</x:v>
      </x:c>
      <x:c r="E67" s="70" t="str">
        <x:v>Hi Robot uses hierarchical vision-language-action policies to interpret complex instructions and user feedback. A lower-level controller executes the manipulation steps selected by the higher-level reasoning component.</x:v>
      </x:c>
      <x:c r="F67" s="81" t="str">
        <x:v>https://arxiv.org/abs/2502.19417</x:v>
      </x:c>
      <x:c r="G67" s="70" t="str">
        <x:v>Paper</x:v>
      </x:c>
      <x:c r="H67" s="80" t="str">
        <x:v>Pending</x:v>
      </x:c>
    </x:row>
    <x:row r="68" ht="62" customHeight="1">
      <x:c r="A68" s="79" t="n">
        <x:v>60</x:v>
      </x:c>
      <x:c r="B68" s="70" t="str">
        <x:v>ecot</x:v>
      </x:c>
      <x:c r="C68" s="79" t="n">
        <x:v>2024</x:v>
      </x:c>
      <x:c r="D68" s="70" t="str">
        <x:v>M. Zawalski, W. Chen, K. Pertsch, O. Mees, C. Finn, and S. Levine, “Robotic control via embodied chain-of-thought reasoning,” in Proc. Conf. Robot Learn. (CoRL), 2024, arXiv:2407.08693.</x:v>
      </x:c>
      <x:c r="E68" s="70" t="str">
        <x:v>Embodied Chain-of-Thought trains a VLA to generate intermediate plans and visually grounded reasoning before robot actions. The method studies whether explicit reasoning supervision improves control and instruction execution.</x:v>
      </x:c>
      <x:c r="F68" s="81" t="str">
        <x:v>https://arxiv.org/abs/2407.08693</x:v>
      </x:c>
      <x:c r="G68" s="70" t="str">
        <x:v>Paper</x:v>
      </x:c>
      <x:c r="H68" s="80" t="str">
        <x:v>Pending</x:v>
      </x:c>
    </x:row>
    <x:row r="69" ht="62" customHeight="1">
      <x:c r="A69" s="79" t="n">
        <x:v>61</x:v>
      </x:c>
      <x:c r="B69" s="70" t="str">
        <x:v>onetwovla</x:v>
      </x:c>
      <x:c r="C69" s="79" t="n">
        <x:v>2025</x:v>
      </x:c>
      <x:c r="D69" s="70" t="str">
        <x:v>Lin et al., “OneTwoVLA: A unified vision-language-action model with adaptive reasoning,” arXiv preprint arXiv:2505.11917, 2025.</x:v>
      </x:c>
      <x:c r="E69" s="70" t="str">
        <x:v>OneTwoVLA unifies explicit reasoning and robot-action generation within one model. It switches between reasoning and execution as task progress requires.</x:v>
      </x:c>
      <x:c r="F69" s="81" t="str">
        <x:v>https://arxiv.org/abs/2505.11917</x:v>
      </x:c>
      <x:c r="G69" s="70" t="str">
        <x:v>Paper</x:v>
      </x:c>
      <x:c r="H69" s="80" t="str">
        <x:v>Pending</x:v>
      </x:c>
    </x:row>
    <x:row r="70" ht="62" customHeight="1">
      <x:c r="A70" s="79" t="n">
        <x:v>62</x:v>
      </x:c>
      <x:c r="B70" s="70" t="str">
        <x:v>rationalvla</x:v>
      </x:c>
      <x:c r="C70" s="79" t="n">
        <x:v>2025</x:v>
      </x:c>
      <x:c r="D70" s="70" t="str">
        <x:v>Song et al., “RationalVLA: A rational vision-language-action model with dual system,” arXiv preprint arXiv:2506.10826, 2025.</x:v>
      </x:c>
      <x:c r="E70" s="70" t="str">
        <x:v>RationalVLA couples higher-level instruction reasoning with manipulation control in a dual-system design. It includes assessment and rejection of commands judged infeasible or defective.</x:v>
      </x:c>
      <x:c r="F70" s="81" t="str">
        <x:v>https://arxiv.org/abs/2506.10826</x:v>
      </x:c>
      <x:c r="G70" s="70" t="str">
        <x:v>Paper</x:v>
      </x:c>
      <x:c r="H70" s="80" t="str">
        <x:v>Pending</x:v>
      </x:c>
    </x:row>
    <x:row r="71" ht="62" customHeight="1">
      <x:c r="A71" s="79" t="n">
        <x:v>63</x:v>
      </x:c>
      <x:c r="B71" s="70" t="str">
        <x:v>rekep</x:v>
      </x:c>
      <x:c r="C71" s="79" t="n">
        <x:v>2024</x:v>
      </x:c>
      <x:c r="D71" s="70" t="str">
        <x:v>W. Huang, C. Wang, Y. Li, R. Zhang, and L. Fei-Fei, “ReKep: Spatio-temporal reasoning of relational keypoint constraints for robotic manipulation,” in Conference on Robot Learning (CoRL), 2024, arXiv:2409.01652.</x:v>
      </x:c>
      <x:c r="E71" s="70" t="str">
        <x:v>ReKep uses visual-language reasoning to formulate relational constraints between task-relevant keypoints. It then optimizes robot motions to satisfy those constraints over time.</x:v>
      </x:c>
      <x:c r="F71" s="81" t="str">
        <x:v>https://arxiv.org/abs/2409.01652</x:v>
      </x:c>
      <x:c r="G71" s="70" t="str">
        <x:v>Paper</x:v>
      </x:c>
      <x:c r="H71" s="80" t="str">
        <x:v>Pending</x:v>
      </x:c>
    </x:row>
    <x:row r="72" ht="62" customHeight="1">
      <x:c r="A72" s="79" t="n">
        <x:v>64</x:v>
      </x:c>
      <x:c r="B72" s="70" t="str">
        <x:v>moka</x:v>
      </x:c>
      <x:c r="C72" s="79" t="n">
        <x:v>2024</x:v>
      </x:c>
      <x:c r="D72" s="70" t="str">
        <x:v>F. Liu, K. Fang, P. Abbeel, and S. Levine, “MOKA: Open-world robotic manipulation through mark-based visual prompting,” in Robotics: Science and Systems (RSS), 2024, arXiv:2403.03174.</x:v>
      </x:c>
      <x:c r="E72" s="70" t="str">
        <x:v>MOKA uses marked images and point-based affordances to interpret manipulation instructions. These geometric interfaces translate vision-language reasoning into executable control commands.</x:v>
      </x:c>
      <x:c r="F72" s="81" t="str">
        <x:v>https://arxiv.org/abs/2403.03174</x:v>
      </x:c>
      <x:c r="G72" s="70" t="str">
        <x:v>Paper</x:v>
      </x:c>
      <x:c r="H72" s="80" t="str">
        <x:v>Pending</x:v>
      </x:c>
    </x:row>
    <x:row r="73" ht="62" customHeight="1">
      <x:c r="A73" s="79" t="n">
        <x:v>65</x:v>
      </x:c>
      <x:c r="B73" s="70" t="str">
        <x:v>cotvla</x:v>
      </x:c>
      <x:c r="C73" s="79" t="n">
        <x:v>2025</x:v>
      </x:c>
      <x:c r="D73" s="70" t="str">
        <x:v>Q. Zhao et al., “CoT-VLA: Visual chain-of-thought reasoning for vision-language-action models,” in Proc. IEEE/CVF Conf. Comput. Vis. Pattern Recognit. (CVPR), 2025, arXiv:2503.22020.</x:v>
      </x:c>
      <x:c r="E73" s="70" t="str">
        <x:v>CoT-VLA predicts future images as intermediate visual goals before generating action sequences. This visual chain of thought links prediction to policy execution without itself establishing candidate-action search.</x:v>
      </x:c>
      <x:c r="F73" s="81" t="str">
        <x:v>https://arxiv.org/abs/2503.22020</x:v>
      </x:c>
      <x:c r="G73" s="70" t="str">
        <x:v>Paper</x:v>
      </x:c>
      <x:c r="H73" s="80" t="str">
        <x:v>Pending</x:v>
      </x:c>
    </x:row>
    <x:row r="74" ht="62" customHeight="1">
      <x:c r="A74" s="79" t="n">
        <x:v>66</x:v>
      </x:c>
      <x:c r="B74" s="70" t="str">
        <x:v>ontollmtamp</x:v>
      </x:c>
      <x:c r="C74" s="79" t="n">
        <x:v>2025</x:v>
      </x:c>
      <x:c r="D74" s="70" t="str">
        <x:v>M. U. Din, J. Rosell, W. Akram, I. Zaplana, M. A. Roa, L. Seneviratne, and I. Hussain, “Ontology-driven prompt tuning for LLM-based task and motion planning,” Robot. Auton. Syst., 2025.</x:v>
      </x:c>
      <x:c r="E74" s="70" t="str">
        <x:v>This framework enriches language-model prompts with ontology-based task knowledge and descriptions of the environment. It uses this knowledge to improve semantic consistency and temporal ordering in task-and-motion plans.</x:v>
      </x:c>
      <x:c r="F74" s="81" t="str">
        <x:v>https://arxiv.org/abs/2412.07493v1</x:v>
      </x:c>
      <x:c r="G74" s="70" t="str">
        <x:v>Paper</x:v>
      </x:c>
      <x:c r="H74" s="80" t="str">
        <x:v>Pending</x:v>
      </x:c>
    </x:row>
    <x:row r="75" ht="62" customHeight="1">
      <x:c r="A75" s="79" t="n">
        <x:v>67</x:v>
      </x:c>
      <x:c r="B75" s="70" t="str">
        <x:v>peract</x:v>
      </x:c>
      <x:c r="C75" s="79" t="n">
        <x:v>2022</x:v>
      </x:c>
      <x:c r="D75" s="70" t="str">
        <x:v>M. Shridhar, L. Manuelli, and D. Fox, “Perceiver-Actor: A multi-task transformer for robotic manipulation,” in Proc. Conf. Robot Learn. (CoRL), 2022, arXiv:2209.05451.</x:v>
      </x:c>
      <x:c r="E75" s="70" t="str">
        <x:v>PerAct encodes language goals and voxelized RGB-D observations with a Perceiver architecture. It learns discretized six-degree-of-freedom manipulation actions through behavior cloning.</x:v>
      </x:c>
      <x:c r="F75" s="81" t="str">
        <x:v>https://arxiv.org/abs/2209.05451</x:v>
      </x:c>
      <x:c r="G75" s="70" t="str">
        <x:v>Paper</x:v>
      </x:c>
      <x:c r="H75" s="80" t="str">
        <x:v>Pending</x:v>
      </x:c>
    </x:row>
    <x:row r="76" ht="62" customHeight="1">
      <x:c r="A76" s="79" t="n">
        <x:v>68</x:v>
      </x:c>
      <x:c r="B76" s="70" t="str">
        <x:v>rvt</x:v>
      </x:c>
      <x:c r="C76" s="79" t="n">
        <x:v>2023</x:v>
      </x:c>
      <x:c r="D76" s="70" t="str">
        <x:v>A. Goyal, J. Xu, Y. Guo, V. Blukis, Y.-W. Chao, and D. Fox, “RVT: Robotic view transformer for 3D object manipulation,” in Proc. Conf. Robot Learn. (CoRL), 2023, arXiv:2306.14896.</x:v>
      </x:c>
      <x:c r="E76" s="70" t="str">
        <x:v>RVT combines rendered views of a three-dimensional scene with language-goal embeddings in a transformer. The resulting representation supports spatially grounded manipulation from limited demonstrations.</x:v>
      </x:c>
      <x:c r="F76" s="81" t="str">
        <x:v>https://arxiv.org/abs/2306.14896</x:v>
      </x:c>
      <x:c r="G76" s="70" t="str">
        <x:v>Paper</x:v>
      </x:c>
      <x:c r="H76" s="80" t="str">
        <x:v>Pending</x:v>
      </x:c>
    </x:row>
    <x:row r="77" ht="62" customHeight="1">
      <x:c r="A77" s="79" t="n">
        <x:v>69</x:v>
      </x:c>
      <x:c r="B77" s="70" t="str">
        <x:v>rvt2</x:v>
      </x:c>
      <x:c r="C77" s="79" t="n">
        <x:v>2024</x:v>
      </x:c>
      <x:c r="D77" s="70" t="str">
        <x:v>A. Goyal, V. Blukis, J. Xu, Y. Guo, Y.-W. Chao, and D. Fox, “RVT-2: Learning precise manipulation from few demonstrations,” in Robotics: Science and Systems (RSS), 2024, arXiv:2406.08545.</x:v>
      </x:c>
      <x:c r="E77" s="70" t="str">
        <x:v>RVT-2 improves the architecture and execution of language-conditioned multi-view manipulation policies. It emphasizes precise control and efficient learning from few demonstrations.</x:v>
      </x:c>
      <x:c r="F77" s="81" t="str">
        <x:v>https://arxiv.org/abs/2406.08545</x:v>
      </x:c>
      <x:c r="G77" s="70" t="str">
        <x:v>Paper</x:v>
      </x:c>
      <x:c r="H77" s="80" t="str">
        <x:v>Pending</x:v>
      </x:c>
    </x:row>
    <x:row r="78" ht="62" customHeight="1">
      <x:c r="A78" s="79" t="n">
        <x:v>70</x:v>
      </x:c>
      <x:c r="B78" s="70" t="str">
        <x:v>act3d</x:v>
      </x:c>
      <x:c r="C78" s="79" t="n">
        <x:v>2023</x:v>
      </x:c>
      <x:c r="D78" s="70" t="str">
        <x:v>T. Gervet, Z. Xian, N. Gkanatsios, and K. Fragkiadaki, “Act3D: 3D feature field transformers for multi-task robotic manipulation,” in Conference on Robot Learning (CoRL), 2023, arXiv:2306.17817.</x:v>
      </x:c>
      <x:c r="E78" s="70" t="str">
        <x:v>Act3D uses a hierarchical three-dimensional feature field with task-instruction conditioning to predict manipulation actions. Coarse-to-fine spatial sampling concentrates computation where precise action prediction is needed.</x:v>
      </x:c>
      <x:c r="F78" s="81" t="str">
        <x:v>https://arxiv.org/abs/2306.17817</x:v>
      </x:c>
      <x:c r="G78" s="70" t="str">
        <x:v>Paper</x:v>
      </x:c>
      <x:c r="H78" s="80" t="str">
        <x:v>Pending</x:v>
      </x:c>
    </x:row>
    <x:row r="79" ht="62" customHeight="1">
      <x:c r="A79" s="79" t="n">
        <x:v>71</x:v>
      </x:c>
      <x:c r="B79" s="70" t="str">
        <x:v>threedvla</x:v>
      </x:c>
      <x:c r="C79" s="79" t="n">
        <x:v>2024</x:v>
      </x:c>
      <x:c r="D79" s="70" t="str">
        <x:v>H. Zhen, X. Qiu, P. Chen, J. Yang, X. Yan, Y. Du, Y. Hong, and C. Gan, “3D-VLA: A 3D vision-language-action generative world model,” in Proc. Int. Conf. Mach. Learn. (ICML), 2024, arXiv:2403.09631.</x:v>
      </x:c>
      <x:c r="E79" s="70" t="str">
        <x:v>3D-VLA combines three-dimensional vision-language representations with generation of future observations and robot actions. It connects spatial grounding with predictive policy learning for manipulation.</x:v>
      </x:c>
      <x:c r="F79" s="81" t="str">
        <x:v>https://arxiv.org/abs/2403.09631</x:v>
      </x:c>
      <x:c r="G79" s="70" t="str">
        <x:v>Paper</x:v>
      </x:c>
      <x:c r="H79" s="80" t="str">
        <x:v>Pending</x:v>
      </x:c>
    </x:row>
    <x:row r="80" ht="72" customHeight="1">
      <x:c r="A80" s="79" t="n">
        <x:v>72</x:v>
      </x:c>
      <x:c r="B80" s="70" t="str">
        <x:v>spatialvla</x:v>
      </x:c>
      <x:c r="C80" s="79" t="n">
        <x:v>2025</x:v>
      </x:c>
      <x:c r="D80" s="70" t="str">
        <x:v>D. Qu, H. Song, Q. Chen, Y. Yao, X. Ye, Y. Ding, Z. Wang, J. Gu, B. Zhao, D. Wang et al., “SpatialVLA: Exploring spatial representations for visual-language-action models,” in Proc. Robot.: Sci. Syst. (RSS), 2025, arXiv:2501.15830.</x:v>
      </x:c>
      <x:c r="E80" s="70" t="str">
        <x:v>SpatialVLA uses geometric visual representations and spatially structured action tokens. These representations connect scene geometry with language-conditioned manipulation commands.</x:v>
      </x:c>
      <x:c r="F80" s="81" t="str">
        <x:v>https://arxiv.org/abs/2501.15830</x:v>
      </x:c>
      <x:c r="G80" s="70" t="str">
        <x:v>Paper</x:v>
      </x:c>
      <x:c r="H80" s="80" t="str">
        <x:v>Pending</x:v>
      </x:c>
    </x:row>
    <x:row r="81" ht="62" customHeight="1">
      <x:c r="A81" s="79" t="n">
        <x:v>73</x:v>
      </x:c>
      <x:c r="B81" s="70" t="str">
        <x:v>pointvla</x:v>
      </x:c>
      <x:c r="C81" s="79" t="n">
        <x:v>2025</x:v>
      </x:c>
      <x:c r="D81" s="70" t="str">
        <x:v>Li et al., “PointVLA: Injecting the 3D world into vision-language-action models,” arXiv preprint arXiv:2503.07511, 2025.</x:v>
      </x:c>
      <x:c r="E81" s="70" t="str">
        <x:v>PointVLA injects point-cloud information into pretrained VLA action modules through lightweight adaptation. It gives an existing policy access to three-dimensional geometry for manipulation.</x:v>
      </x:c>
      <x:c r="F81" s="81" t="str">
        <x:v>https://arxiv.org/abs/2503.07511</x:v>
      </x:c>
      <x:c r="G81" s="70" t="str">
        <x:v>Paper</x:v>
      </x:c>
      <x:c r="H81" s="80" t="str">
        <x:v>Pending</x:v>
      </x:c>
    </x:row>
    <x:row r="82" ht="62" customHeight="1">
      <x:c r="A82" s="79" t="n">
        <x:v>74</x:v>
      </x:c>
      <x:c r="B82" s="70" t="str">
        <x:v>lift3d</x:v>
      </x:c>
      <x:c r="C82" s="79" t="n">
        <x:v>2024</x:v>
      </x:c>
      <x:c r="D82" s="70" t="str">
        <x:v>Jia et al., “Lift3D foundation policy: Lifting 2D large-scale pretrained models for robust 3D robotic manipulation,” arXiv preprint arXiv:2411.18623, 2024.</x:v>
      </x:c>
      <x:c r="E82" s="70" t="str">
        <x:v>Lift3D adapts pretrained two-dimensional visual features into implicit and explicit three-dimensional manipulation representations. Its reported policy uses point clouds and robot state without language conditioning.</x:v>
      </x:c>
      <x:c r="F82" s="81" t="str">
        <x:v>https://arxiv.org/abs/2411.18623</x:v>
      </x:c>
      <x:c r="G82" s="70" t="str">
        <x:v>Paper</x:v>
      </x:c>
      <x:c r="H82" s="80" t="str">
        <x:v>Pending</x:v>
      </x:c>
    </x:row>
    <x:row r="83" ht="62" customHeight="1">
      <x:c r="A83" s="79" t="n">
        <x:v>75</x:v>
      </x:c>
      <x:c r="B83" s="70" t="str">
        <x:v>fp3</x:v>
      </x:c>
      <x:c r="C83" s="79" t="n">
        <x:v>2025</x:v>
      </x:c>
      <x:c r="D83" s="70" t="str">
        <x:v>Yang et al., “FP3: A 3D foundation policy for robotic manipulation,” arXiv preprint arXiv:2503.08950, 2025.</x:v>
      </x:c>
      <x:c r="E83" s="70" t="str">
        <x:v>FP3 pretrains a diffusion-transformer manipulation policy using point clouds, proprioception, and CLIP-encoded instructions. It adapts this language-conditioned three-dimensional policy to downstream tasks.</x:v>
      </x:c>
      <x:c r="F83" s="81" t="str">
        <x:v>https://arxiv.org/abs/2503.08950</x:v>
      </x:c>
      <x:c r="G83" s="70" t="str">
        <x:v>Paper</x:v>
      </x:c>
      <x:c r="H83" s="80" t="str">
        <x:v>Pending</x:v>
      </x:c>
    </x:row>
    <x:row r="84" ht="62" customHeight="1">
      <x:c r="A84" s="79" t="n">
        <x:v>76</x:v>
      </x:c>
      <x:c r="B84" s="70" t="str">
        <x:v>bridgevla</x:v>
      </x:c>
      <x:c r="C84" s="79" t="n">
        <x:v>2025</x:v>
      </x:c>
      <x:c r="D84" s="70" t="str">
        <x:v>Li et al., “BridgeVLA: Input-output alignment for efficient 3D manipulation learning,” arXiv preprint arXiv:2506.07961, 2025.</x:v>
      </x:c>
      <x:c r="E84" s="70" t="str">
        <x:v>BridgeVLA projects three-dimensional observations into multiple image views and predicts spatial action heatmaps. This design aligns visual inputs with the spatial representation of control outputs.</x:v>
      </x:c>
      <x:c r="F84" s="81" t="str">
        <x:v>https://arxiv.org/abs/2506.07961</x:v>
      </x:c>
      <x:c r="G84" s="70" t="str">
        <x:v>Paper</x:v>
      </x:c>
      <x:c r="H84" s="80" t="str">
        <x:v>Pending</x:v>
      </x:c>
    </x:row>
    <x:row r="85" ht="72" customHeight="1">
      <x:c r="A85" s="79" t="n">
        <x:v>77</x:v>
      </x:c>
      <x:c r="B85" s="70" t="str">
        <x:v>graspvla</x:v>
      </x:c>
      <x:c r="C85" s="79" t="n">
        <x:v>2025</x:v>
      </x:c>
      <x:c r="D85" s="70" t="str">
        <x:v>S. Deng, M. Yan, S. Wei, H. Ma, Y. Yang, J. Chen, Z. Zhang, T. Yang, X. Zhang, W. Zhang, H. Cui, Z. Zhang, and H. Wang, “GraspVLA: A grasping foundation model pre-trained on billion-scale synthetic action data,” arXiv preprint arXiv:2505.03233, 2025.</x:v>
      </x:c>
      <x:c r="E85" s="70" t="str">
        <x:v>GraspVLA combines autoregressive perception with flow-matching action generation for grasping. Its training integrates synthetic robot data with semantic pretraining to support generalizable grasp behavior.</x:v>
      </x:c>
      <x:c r="F85" s="81" t="str">
        <x:v>https://arxiv.org/abs/2505.03233</x:v>
      </x:c>
      <x:c r="G85" s="70" t="str">
        <x:v>Paper</x:v>
      </x:c>
      <x:c r="H85" s="80" t="str">
        <x:v>Pending</x:v>
      </x:c>
    </x:row>
    <x:row r="86" ht="62" customHeight="1">
      <x:c r="A86" s="79" t="n">
        <x:v>78</x:v>
      </x:c>
      <x:c r="B86" s="70" t="str">
        <x:v>geovla</x:v>
      </x:c>
      <x:c r="C86" s="79" t="n">
        <x:v>2025</x:v>
      </x:c>
      <x:c r="D86" s="70" t="str">
        <x:v>Sun et al., “GeoVLA: Empowering 3D representations in vision-language-action models,” arXiv preprint arXiv:2508.09071, 2025.</x:v>
      </x:c>
      <x:c r="E86" s="70" t="str">
        <x:v>GeoVLA fuses image-language representations with point-cloud geometry in an action expert. This spatial interface supplies three-dimensional context for language-conditioned manipulation.</x:v>
      </x:c>
      <x:c r="F86" s="81" t="str">
        <x:v>https://arxiv.org/abs/2508.09071</x:v>
      </x:c>
      <x:c r="G86" s="70" t="str">
        <x:v>Paper</x:v>
      </x:c>
      <x:c r="H86" s="80" t="str">
        <x:v>Pending</x:v>
      </x:c>
    </x:row>
    <x:row r="87" ht="62" customHeight="1">
      <x:c r="A87" s="79" t="n">
        <x:v>79</x:v>
      </x:c>
      <x:c r="B87" s="70" t="str">
        <x:v>cavla</x:v>
      </x:c>
      <x:c r="C87" s="79" t="n">
        <x:v>2025</x:v>
      </x:c>
      <x:c r="D87" s="70" t="str">
        <x:v>Bhat et al., “3D CAVLA: Leveraging depth and 3D context to generalize vision-language-action models for unseen tasks,” arXiv preprint arXiv:2505.05800, 2025.</x:v>
      </x:c>
      <x:c r="E87" s="70" t="str">
        <x:v>3D-CAVLA combines depth information, task-relevant visual regions, and intermediate reasoning for VLA adaptation. These cues support manipulation in tasks beyond those seen during training.</x:v>
      </x:c>
      <x:c r="F87" s="81" t="str">
        <x:v>https://arxiv.org/abs/2505.05800</x:v>
      </x:c>
      <x:c r="G87" s="70" t="str">
        <x:v>Paper</x:v>
      </x:c>
      <x:c r="H87" s="80" t="str">
        <x:v>Pending</x:v>
      </x:c>
    </x:row>
    <x:row r="88" ht="62" customHeight="1">
      <x:c r="A88" s="79" t="n">
        <x:v>80</x:v>
      </x:c>
      <x:c r="B88" s="70" t="str">
        <x:v>irevla</x:v>
      </x:c>
      <x:c r="C88" s="79" t="n">
        <x:v>2025</x:v>
      </x:c>
      <x:c r="D88" s="70" t="str">
        <x:v>Y. Guo et al., “Improving vision-language-action model with online reinforcement learning,” in Proc. IEEE Int. Conf. Robot. Autom. (ICRA), 2025, arXiv:2501.16664.</x:v>
      </x:c>
      <x:c r="E88" s="70" t="str">
        <x:v>iRe-VLA alternates reinforcement-learning improvement with supervised learning. This alternating procedure aims to stabilize interactive adaptation of pretrained VLA policies.</x:v>
      </x:c>
      <x:c r="F88" s="81" t="str">
        <x:v>https://arxiv.org/abs/2501.16664</x:v>
      </x:c>
      <x:c r="G88" s="70" t="str">
        <x:v>Paper</x:v>
      </x:c>
      <x:c r="H88" s="80" t="str">
        <x:v>Pending</x:v>
      </x:c>
    </x:row>
    <x:row r="89" ht="62" customHeight="1">
      <x:c r="A89" s="79" t="n">
        <x:v>81</x:v>
      </x:c>
      <x:c r="B89" s="70" t="str">
        <x:v>grape</x:v>
      </x:c>
      <x:c r="C89" s="79" t="n">
        <x:v>2024</x:v>
      </x:c>
      <x:c r="D89" s="70" t="str">
        <x:v>Z. Zhang et al., “GRAPE: Generalizing robot policy via preference alignment,” arXiv preprint arXiv:2411.19309, 2024.</x:v>
      </x:c>
      <x:c r="E89" s="70" t="str">
        <x:v>GRAPE aligns robot policies using trajectory preferences derived from successful and unsuccessful behavior. Task-specific spatial and temporal constraints guide the preference-based training signal.</x:v>
      </x:c>
      <x:c r="F89" s="81" t="str">
        <x:v>https://arxiv.org/abs/2411.19309</x:v>
      </x:c>
      <x:c r="G89" s="70" t="str">
        <x:v>Paper</x:v>
      </x:c>
      <x:c r="H89" s="80" t="str">
        <x:v>Pending</x:v>
      </x:c>
    </x:row>
    <x:row r="90" ht="62" customHeight="1">
      <x:c r="A90" s="79" t="n">
        <x:v>82</x:v>
      </x:c>
      <x:c r="B90" s="70" t="str">
        <x:v>rldg</x:v>
      </x:c>
      <x:c r="C90" s="79" t="n">
        <x:v>2024</x:v>
      </x:c>
      <x:c r="D90" s="70" t="str">
        <x:v>Xu et al., “RLDG: Robotic generalist policy distillation via reinforcement learning,” arXiv preprint arXiv:2412.09858, 2024.</x:v>
      </x:c>
      <x:c r="E90" s="70" t="str">
        <x:v>RLDG distills trajectories produced by task-specific reinforcement-learning policies into a generalist robot policy. It uses specialist behavior as an additional source of training data for generalist control.</x:v>
      </x:c>
      <x:c r="F90" s="81" t="str">
        <x:v>https://arxiv.org/abs/2412.09858</x:v>
      </x:c>
      <x:c r="G90" s="70" t="str">
        <x:v>Paper</x:v>
      </x:c>
      <x:c r="H90" s="80" t="str">
        <x:v>Pending</x:v>
      </x:c>
    </x:row>
    <x:row r="91" ht="62" customHeight="1">
      <x:c r="A91" s="79" t="n">
        <x:v>83</x:v>
      </x:c>
      <x:c r="B91" s="70" t="str">
        <x:v>conrft</x:v>
      </x:c>
      <x:c r="C91" s="79" t="n">
        <x:v>2025</x:v>
      </x:c>
      <x:c r="D91" s="70" t="str">
        <x:v>Chen et al., “ConRFT: A reinforced fine-tuning method for VLA models via consistency policy,” arXiv preprint arXiv:2502.05450, 2025.</x:v>
      </x:c>
      <x:c r="E91" s="70" t="str">
        <x:v>ConRFT fine-tunes VLA policies through offline and online reinforcement learning with a consistency-based objective. Human intervention during online learning supports adaptation to physical manipulation tasks.</x:v>
      </x:c>
      <x:c r="F91" s="81" t="str">
        <x:v>https://arxiv.org/abs/2502.05450</x:v>
      </x:c>
      <x:c r="G91" s="70" t="str">
        <x:v>Paper</x:v>
      </x:c>
      <x:c r="H91" s="80" t="str">
        <x:v>Pending</x:v>
      </x:c>
    </x:row>
    <x:row r="92" ht="62" customHeight="1">
      <x:c r="A92" s="79" t="n">
        <x:v>84</x:v>
      </x:c>
      <x:c r="B92" s="70" t="str">
        <x:v>vlarl</x:v>
      </x:c>
      <x:c r="C92" s="79" t="n">
        <x:v>2025</x:v>
      </x:c>
      <x:c r="D92" s="70" t="str">
        <x:v>Lu et al., “VLA-RL: Towards masterful and general robotic manipulation with scalable reinforcement learning,” arXiv preprint arXiv:2505.18719, 2025.</x:v>
      </x:c>
      <x:c r="E92" s="70" t="str">
        <x:v>VLA-RL applies online reinforcement learning to autoregressive VLA policies. Its framework combines scalable training infrastructure with a learned progress-reward model.</x:v>
      </x:c>
      <x:c r="F92" s="81" t="str">
        <x:v>https://arxiv.org/abs/2505.18719</x:v>
      </x:c>
      <x:c r="G92" s="70" t="str">
        <x:v>Paper</x:v>
      </x:c>
      <x:c r="H92" s="80" t="str">
        <x:v>Pending</x:v>
      </x:c>
    </x:row>
    <x:row r="93" ht="72" customHeight="1">
      <x:c r="A93" s="79" t="n">
        <x:v>85</x:v>
      </x:c>
      <x:c r="B93" s="70" t="str">
        <x:v>flarerl</x:v>
      </x:c>
      <x:c r="C93" s="79" t="n">
        <x:v>2025</x:v>
      </x:c>
      <x:c r="D93" s="70" t="str">
        <x:v>J. Hu, R. Hendrix, A. Farhadi, A. Kembhavi, R. Martín-Martín, P. Stone, K.-H. Zeng, and K. Ehsani, “FLaRe: Achieving masterful and adaptive robot policies with large-scale reinforcement learning fine-tuning,” in Proc. IEEE Int. Conf. Robot. Autom. (ICRA), 2025, arXiv:2409.16578.</x:v>
      </x:c>
      <x:c r="E93" s="70" t="str">
        <x:v>FLaRe uses large-scale reinforcement-learning fine-tuning to improve pretrained robot policies. It is distinct from FLARE, the separate method for aligning policy features with future latent representations.</x:v>
      </x:c>
      <x:c r="F93" s="81" t="str">
        <x:v>https://arxiv.org/abs/2409.16578</x:v>
      </x:c>
      <x:c r="G93" s="70" t="str">
        <x:v>Paper</x:v>
      </x:c>
      <x:c r="H93" s="80" t="str">
        <x:v>Pending</x:v>
      </x:c>
    </x:row>
    <x:row r="94" ht="72" customHeight="1">
      <x:c r="A94" s="79" t="n">
        <x:v>86</x:v>
      </x:c>
      <x:c r="B94" s="70" t="str">
        <x:v>tinyvla</x:v>
      </x:c>
      <x:c r="C94" s="79" t="n">
        <x:v>2025</x:v>
      </x:c>
      <x:c r="D94" s="70" t="str">
        <x:v>J. Wen, Y. Zhu, J. Li, M. Zhu, K. Wu, Z. Xu, N. Liu, R. Cheng, C. Shen, Y. Peng et al., “TinyVLA: Towards fast, data-efficient vision-language-action models for robotic manipulation,” IEEE Robot. Autom. Lett., 2025, arXiv:2409.12514.</x:v>
      </x:c>
      <x:c r="E94" s="70" t="str">
        <x:v>TinyVLA combines a compact multimodal backbone with a diffusion action decoder. It targets manipulation learning with lower computation and fewer demonstrations.</x:v>
      </x:c>
      <x:c r="F94" s="81" t="str">
        <x:v>https://arxiv.org/abs/2409.12514</x:v>
      </x:c>
      <x:c r="G94" s="70" t="str">
        <x:v>Paper</x:v>
      </x:c>
      <x:c r="H94" s="80" t="str">
        <x:v>Pending</x:v>
      </x:c>
    </x:row>
    <x:row r="95" ht="72" customHeight="1">
      <x:c r="A95" s="79" t="n">
        <x:v>87</x:v>
      </x:c>
      <x:c r="B95" s="70" t="str">
        <x:v>smolvla</x:v>
      </x:c>
      <x:c r="C95" s="79" t="n">
        <x:v>2025</x:v>
      </x:c>
      <x:c r="D95" s="70" t="str">
        <x:v>M. Shukor, D. Aubakirova, F. Capuano, P. Kooijmans, S. Palma, A. Zouitine, M. Aractingi, C. Pascal, M. Russi, A. Marafioti et al., “SmolVLA: A vision-language-action model for affordable and efficient robotics,” arXiv preprint arXiv:2506.01844, 2025.</x:v>
      </x:c>
      <x:c r="E95" s="70" t="str">
        <x:v>SmolVLA uses a compact vision-language backbone and a flow-matching action expert. Its asynchronous inference design supports robot deployment with modest computational resources.</x:v>
      </x:c>
      <x:c r="F95" s="81" t="str">
        <x:v>https://arxiv.org/abs/2506.01844</x:v>
      </x:c>
      <x:c r="G95" s="70" t="str">
        <x:v>Paper</x:v>
      </x:c>
      <x:c r="H95" s="80" t="str">
        <x:v>Pending</x:v>
      </x:c>
    </x:row>
    <x:row r="96" ht="62" customHeight="1">
      <x:c r="A96" s="79" t="n">
        <x:v>88</x:v>
      </x:c>
      <x:c r="B96" s="70" t="str">
        <x:v>edgevla</x:v>
      </x:c>
      <x:c r="C96" s="79" t="n">
        <x:v>2025</x:v>
      </x:c>
      <x:c r="D96" s="70" t="str">
        <x:v>Budzianowski et al., “EdgeVLA: Efficient vision-language-action models for edge deployment,” arXiv preprint arXiv:2507.14049, 2025.</x:v>
      </x:c>
      <x:c r="E96" s="70" t="str">
        <x:v>EdgeVLA combines a smaller language backbone with non-autoregressive action prediction. It targets reduced inference and memory costs on resource-constrained robot hardware.</x:v>
      </x:c>
      <x:c r="F96" s="81" t="str">
        <x:v>https://arxiv.org/abs/2507.14049</x:v>
      </x:c>
      <x:c r="G96" s="70" t="str">
        <x:v>Paper</x:v>
      </x:c>
      <x:c r="H96" s="80" t="str">
        <x:v>Pending</x:v>
      </x:c>
    </x:row>
    <x:row r="97" ht="72" customHeight="1">
      <x:c r="A97" s="79" t="n">
        <x:v>89</x:v>
      </x:c>
      <x:c r="B97" s="70" t="str">
        <x:v>robomamba</x:v>
      </x:c>
      <x:c r="C97" s="79" t="n">
        <x:v>2024</x:v>
      </x:c>
      <x:c r="D97" s="70" t="str">
        <x:v>J. Liu, M. Liu, Z. Wang, L. Lee, K. Zhou, P. An, S. Yang, R. Zhang, Y. Guo, and S. Zhang, “RoboMamba: Multimodal state space model for efficient robot reasoning and manipulation,” in Adv. Neural Inf. Process. Syst. (NeurIPS), 2024, arXiv:2406.04339.</x:v>
      </x:c>
      <x:c r="E97" s="70" t="str">
        <x:v>RoboMamba uses a Mamba state-space backbone for multimodal reasoning and robot-action prediction. It explores efficient language-conditioned manipulation through this alternative sequence-model architecture.</x:v>
      </x:c>
      <x:c r="F97" s="81" t="str">
        <x:v>https://arxiv.org/abs/2406.04339</x:v>
      </x:c>
      <x:c r="G97" s="70" t="str">
        <x:v>Paper</x:v>
      </x:c>
      <x:c r="H97" s="80" t="str">
        <x:v>Pending</x:v>
      </x:c>
    </x:row>
    <x:row r="98" ht="62" customHeight="1">
      <x:c r="A98" s="79" t="n">
        <x:v>90</x:v>
      </x:c>
      <x:c r="B98" s="70" t="str">
        <x:v>bitvla</x:v>
      </x:c>
      <x:c r="C98" s="79" t="n">
        <x:v>2025</x:v>
      </x:c>
      <x:c r="D98" s="70" t="str">
        <x:v>H. Wang, C. Xiong, R. Wang, and X. Chen, “BitVLA: 1-bit vision-language-action models for robotics manipulation,” arXiv preprint arXiv:2506.07530, 2025.</x:v>
      </x:c>
      <x:c r="E98" s="70" t="str">
        <x:v>BitVLA combines low-bit model weights with visual-encoder compression to reduce the memory and inference demands of a VLA policy. It addresses resource-efficient manipulation deployment rather than explicit prediction of action consequences.</x:v>
      </x:c>
      <x:c r="F98" s="81" t="str">
        <x:v>https://arxiv.org/abs/2506.07530</x:v>
      </x:c>
      <x:c r="G98" s="70" t="str">
        <x:v>Paper</x:v>
      </x:c>
      <x:c r="H98" s="80" t="str">
        <x:v>Pending</x:v>
      </x:c>
    </x:row>
    <x:row r="99" ht="62" customHeight="1">
      <x:c r="A99" s="79" t="n">
        <x:v>91</x:v>
      </x:c>
      <x:c r="B99" s="70" t="str">
        <x:v>vlacache</x:v>
      </x:c>
      <x:c r="C99" s="79" t="n">
        <x:v>2025</x:v>
      </x:c>
      <x:c r="D99" s="70" t="str">
        <x:v>Xu et al., “VLA-Cache: Towards efficient vision-language-action model via adaptive token caching,” arXiv preprint arXiv:2502.02175, 2025.</x:v>
      </x:c>
      <x:c r="E99" s="70" t="str">
        <x:v>VLA-Cache reuses visual tokens that change little between observations while recomputing task-relevant information. This reduces repeated inference work in an existing VLA control pipeline.</x:v>
      </x:c>
      <x:c r="F99" s="81" t="str">
        <x:v>https://arxiv.org/abs/2502.02175</x:v>
      </x:c>
      <x:c r="G99" s="70" t="str">
        <x:v>Paper</x:v>
      </x:c>
      <x:c r="H99" s="80" t="str">
        <x:v>Pending</x:v>
      </x:c>
    </x:row>
    <x:row r="100" ht="62" customHeight="1">
      <x:c r="A100" s="79" t="n">
        <x:v>92</x:v>
      </x:c>
      <x:c r="B100" s="70" t="str">
        <x:v>efficientvla</x:v>
      </x:c>
      <x:c r="C100" s="79" t="n">
        <x:v>2025</x:v>
      </x:c>
      <x:c r="D100" s="70" t="str">
        <x:v>Yang et al., “EfficientVLA: Training-free acceleration and compression for vision-language-action models,” arXiv preprint arXiv:2506.10100, 2025.</x:v>
      </x:c>
      <x:c r="E100" s="70" t="str">
        <x:v>EfficientVLA accelerates existing policies through language-layer pruning, visual-token selection, and reuse of diffusion-head features. Its contribution is a training-free reduction of policy inference cost.</x:v>
      </x:c>
      <x:c r="F100" s="81" t="str">
        <x:v>https://arxiv.org/abs/2506.10100</x:v>
      </x:c>
      <x:c r="G100" s="70" t="str">
        <x:v>Paper</x:v>
      </x:c>
      <x:c r="H100" s="80" t="str">
        <x:v>Pending</x:v>
      </x:c>
    </x:row>
    <x:row r="101" ht="62" customHeight="1">
      <x:c r="A101" s="79" t="n">
        <x:v>93</x:v>
      </x:c>
      <x:c r="B101" s="70" t="str">
        <x:v>pdvla</x:v>
      </x:c>
      <x:c r="C101" s="79" t="n">
        <x:v>2025</x:v>
      </x:c>
      <x:c r="D101" s="70" t="str">
        <x:v>Song et al., “Accelerating vision-language-action model integrated with action chunking via parallel decoding,” arXiv preprint arXiv:2503.02310, 2025.</x:v>
      </x:c>
      <x:c r="E101" s="70" t="str">
        <x:v>PD-VLA applies parallel fixed-point iterations to decode action chunks from an autoregressive VLA. It targets action-generation latency while retaining the policy formulation of robot control.</x:v>
      </x:c>
      <x:c r="F101" s="81" t="str">
        <x:v>https://arxiv.org/abs/2503.02310</x:v>
      </x:c>
      <x:c r="G101" s="70" t="str">
        <x:v>Paper</x:v>
      </x:c>
      <x:c r="H101" s="80" t="str">
        <x:v>Pending</x:v>
      </x:c>
    </x:row>
    <x:row r="102" ht="62" customHeight="1">
      <x:c r="A102" s="79" t="n">
        <x:v>94</x:v>
      </x:c>
      <x:c r="B102" s="70" t="str">
        <x:v>ceedvla</x:v>
      </x:c>
      <x:c r="C102" s="79" t="n">
        <x:v>2025</x:v>
      </x:c>
      <x:c r="D102" s="70" t="str">
        <x:v>–––, “CEED-VLA: Consistency vision-language-action model with early-exit decoding,” arXiv preprint arXiv:2506.13725, 2025.</x:v>
      </x:c>
      <x:c r="E102" s="70" t="str">
        <x:v>CEED-VLA uses consistency distillation and early-exit decoding to accelerate action-token generation. It studies efficient execution of VLA policies under constrained inference budgets.</x:v>
      </x:c>
      <x:c r="F102" s="81" t="str">
        <x:v>https://arxiv.org/abs/2506.13725</x:v>
      </x:c>
      <x:c r="G102" s="70" t="str">
        <x:v>Paper</x:v>
      </x:c>
      <x:c r="H102" s="80" t="str">
        <x:v>Pending</x:v>
      </x:c>
    </x:row>
    <x:row r="103" ht="72" customHeight="1">
      <x:c r="A103" s="79" t="n">
        <x:v>95</x:v>
      </x:c>
      <x:c r="B103" s="70" t="str">
        <x:v>deervla</x:v>
      </x:c>
      <x:c r="C103" s="79" t="n">
        <x:v>2024</x:v>
      </x:c>
      <x:c r="D103" s="70" t="str">
        <x:v>Y. Yue, Y. Wang, B. Kang, Y. Han, S. Wang, S. Song, J. Feng, and G. Huang, “DeeR-VLA: Dynamic inference of multimodal large language models for efficient robot execution,” in Advances in Neural Information Processing Systems (NeurIPS), 2024, arXiv:2411.02359.</x:v>
      </x:c>
      <x:c r="E103" s="70" t="str">
        <x:v>DeeR-VLA equips a multimodal policy backbone with multiple exits so that inference depth can vary with the current input. It links robot execution efficiency to adaptive computation rather than a fixed processing depth.</x:v>
      </x:c>
      <x:c r="F103" s="81" t="str">
        <x:v>https://arxiv.org/abs/2411.02359</x:v>
      </x:c>
      <x:c r="G103" s="70" t="str">
        <x:v>Paper</x:v>
      </x:c>
      <x:c r="H103" s="80" t="str">
        <x:v>Pending</x:v>
      </x:c>
    </x:row>
    <x:row r="104" ht="62" customHeight="1">
      <x:c r="A104" s="79" t="n">
        <x:v>96</x:v>
      </x:c>
      <x:c r="B104" s="70" t="str">
        <x:v>geminiondevice</x:v>
      </x:c>
      <x:c r="C104" s="79" t="n">
        <x:v>2025</x:v>
      </x:c>
      <x:c r="D104" s="70" t="str">
        <x:v>Google DeepMind, “Gemini Robotics On-Device: Bringing AI to local robotic devices,” Google DeepMind announcement, 2025.</x:v>
      </x:c>
      <x:c r="E104" s="70" t="str">
        <x:v>Gemini Robotics On-Device is a vendor-reported VLA designed to run locally on robot hardware. The release describes adaptation to manipulation tasks through fine-tuning and provides context for on-device deployment.</x:v>
      </x:c>
      <x:c r="F104" s="81" t="str">
        <x:v>https://deepmind.google/blog/gemini-robotics-on-device-brings-ai-to-local-robotic-devices/</x:v>
      </x:c>
      <x:c r="G104" s="70" t="str">
        <x:v>Technical release / software</x:v>
      </x:c>
      <x:c r="H104" s="80" t="str">
        <x:v>Pending</x:v>
      </x:c>
    </x:row>
    <x:row r="105" ht="72" customHeight="1">
      <x:c r="A105" s="79" t="n">
        <x:v>97</x:v>
      </x:c>
      <x:c r="B105" s="70" t="str">
        <x:v>owmmagent</x:v>
      </x:c>
      <x:c r="C105" s="79" t="n">
        <x:v>2025</x:v>
      </x:c>
      <x:c r="D105" s="70" t="str">
        <x:v>J. Chen, H. Liang, L. Du, W. Wang, M. Hu, Y. Mu, W. Wang, J. Dai, P. Luo, W. Shao, and L. Shao, “OWMM-Agent: Open world mobile manipulation with multi-modal agentic data synthesis,” in Advances in Neural Information Processing Systems (NeurIPS), 2025, arXiv:2506.04217.</x:v>
      </x:c>
      <x:c r="E105" s="70" t="str">
        <x:v>OWMM-Agent uses multimodal scene and robot-state context to coordinate mobile manipulation through function calls. Its associated instruction tuning supports an agentic integration of perception, navigation, and manipulation components.</x:v>
      </x:c>
      <x:c r="F105" s="81" t="str">
        <x:v>https://arxiv.org/abs/2506.04217</x:v>
      </x:c>
      <x:c r="G105" s="70" t="str">
        <x:v>Paper</x:v>
      </x:c>
      <x:c r="H105" s="80" t="str">
        <x:v>Pending</x:v>
      </x:c>
    </x:row>
    <x:row r="106" ht="62" customHeight="1">
      <x:c r="A106" s="79" t="n">
        <x:v>98</x:v>
      </x:c>
      <x:c r="B106" s="70" t="str">
        <x:v>okrobot</x:v>
      </x:c>
      <x:c r="C106" s="79" t="n">
        <x:v>2024</x:v>
      </x:c>
      <x:c r="D106" s="70" t="str">
        <x:v>P. Liu, Y. Orru, J. Vakil, C. Paxton, N. M. M. Shafiullah, and L. Pinto, “OK-Robot: What really matters in integrating open-knowledge models for robotics,” arXiv preprint arXiv:2401.12202, 2024.</x:v>
      </x:c>
      <x:c r="E106" s="70" t="str">
        <x:v>OK-Robot integrates open perception, navigation, and grasping components for language-directed mobile manipulation. It studies how these components work together in unfamiliar environments.</x:v>
      </x:c>
      <x:c r="F106" s="81" t="str">
        <x:v>https://arxiv.org/abs/2401.12202</x:v>
      </x:c>
      <x:c r="G106" s="70" t="str">
        <x:v>Paper</x:v>
      </x:c>
      <x:c r="H106" s="80" t="str">
        <x:v>Pending</x:v>
      </x:c>
    </x:row>
    <x:row r="107" ht="62" customHeight="1">
      <x:c r="A107" s="79" t="n">
        <x:v>99</x:v>
      </x:c>
      <x:c r="B107" s="70" t="str">
        <x:v>longvla</x:v>
      </x:c>
      <x:c r="C107" s="79" t="n">
        <x:v>2025</x:v>
      </x:c>
      <x:c r="D107" s="70" t="str">
        <x:v>Fan et al., “Long-VLA: Unleashing long-horizon capability of vision-language-action models,” arXiv preprint arXiv:2508.19958, 2025.</x:v>
      </x:c>
      <x:c r="E107" s="70" t="str">
        <x:v>Long-VLA uses phase-aware masking of sensory inputs to support coordination across successive subtasks. It addresses error accumulation and execution over extended manipulation horizons.</x:v>
      </x:c>
      <x:c r="F107" s="81" t="str">
        <x:v>https://arxiv.org/abs/2508.19958</x:v>
      </x:c>
      <x:c r="G107" s="70" t="str">
        <x:v>Paper</x:v>
      </x:c>
      <x:c r="H107" s="80" t="str">
        <x:v>Pending</x:v>
      </x:c>
    </x:row>
    <x:row r="108" ht="62" customHeight="1">
      <x:c r="A108" s="79" t="n">
        <x:v>100</x:v>
      </x:c>
      <x:c r="B108" s="70" t="str">
        <x:v>lohovla</x:v>
      </x:c>
      <x:c r="C108" s="79" t="n">
        <x:v>2025</x:v>
      </x:c>
      <x:c r="D108" s="70" t="str">
        <x:v>Yang et al., “LoHoVLA: A unified vision-language-action model for long-horizon embodied tasks,” arXiv preprint arXiv:2506.00411, 2025.</x:v>
      </x:c>
      <x:c r="E108" s="70" t="str">
        <x:v>LoHoVLA jointly generates subtask language and robot-action tokens. Hierarchical feedback connects these outputs during multi-step embodied task execution.</x:v>
      </x:c>
      <x:c r="F108" s="81" t="str">
        <x:v>https://arxiv.org/abs/2506.00411</x:v>
      </x:c>
      <x:c r="G108" s="70" t="str">
        <x:v>Paper</x:v>
      </x:c>
      <x:c r="H108" s="80" t="str">
        <x:v>Pending</x:v>
      </x:c>
    </x:row>
    <x:row r="109" ht="62" customHeight="1">
      <x:c r="A109" s="79" t="n">
        <x:v>101</x:v>
      </x:c>
      <x:c r="B109" s="70" t="str">
        <x:v>grootn15</x:v>
      </x:c>
      <x:c r="C109" s="79" t="n">
        <x:v>2025</x:v>
      </x:c>
      <x:c r="D109" s="70" t="str">
        <x:v>NVIDIA GEAR Lab, “GR00T N1.5: An improved open foundation model for generalist humanoid robots,” NVIDIA Research, , 2025.</x:v>
      </x:c>
      <x:c r="E109" s="70" t="str">
        <x:v>GR00T N1.5 extends the GR00T humanoid policy family with changes to its architecture and training data. The official release describes future-latent representation alignment as a component of policy learning.</x:v>
      </x:c>
      <x:c r="F109" s="81" t="str">
        <x:v>https://research.nvidia.com/labs/gear/gr00t-n1_5/</x:v>
      </x:c>
      <x:c r="G109" s="70" t="str">
        <x:v>Technical release / software</x:v>
      </x:c>
      <x:c r="H109" s="80" t="str">
        <x:v>Pending</x:v>
      </x:c>
    </x:row>
    <x:row r="110" ht="62" customHeight="1">
      <x:c r="A110" s="79" t="n">
        <x:v>102</x:v>
      </x:c>
      <x:c r="B110" s="70" t="str">
        <x:v>grootn17</x:v>
      </x:c>
      <x:c r="C110" s="79" t="n">
        <x:v>2026</x:v>
      </x:c>
      <x:c r="D110" s="70" t="str">
        <x:v>NVIDIA, “GR00T-N1.7-3B model card,” Hugging Face, 2026, accessed: Sep. 30, 2026.</x:v>
      </x:c>
      <x:c r="E110" s="70" t="str">
        <x:v>GR00T N1.7 is a cross-embodiment robot policy that conditions action chunks on visual observations, language, and proprioception. Its released model uses a flow-matching action transformer and supports post-training for particular robots and tasks.</x:v>
      </x:c>
      <x:c r="F110" s="81" t="str">
        <x:v>https://huggingface.co/nvidia/GR00T-N1.7-3B</x:v>
      </x:c>
      <x:c r="G110" s="70" t="str">
        <x:v>Technical release / software</x:v>
      </x:c>
      <x:c r="H110" s="80" t="str">
        <x:v>Pending</x:v>
      </x:c>
    </x:row>
    <x:row r="111" ht="72" customHeight="1">
      <x:c r="A111" s="79" t="n">
        <x:v>103</x:v>
      </x:c>
      <x:c r="B111" s="70" t="str">
        <x:v>pi07</x:v>
      </x:c>
      <x:c r="C111" s="79" t="n">
        <x:v>2026</x:v>
      </x:c>
      <x:c r="D111" s="70" t="str">
        <x:v>Physical Intelligence, B. Ai, A. Amin, R. Aniceto, A. Balakrishna, G. Balke, K. Black, G. Bokinsky, S. Cao, T. Charbonnier et al., “π0.7: A steerable generalist robotic foundation model with emergent capabilities,” arXiv preprint arXiv:2604.15483, 2026.</x:v>
      </x:c>
      <x:c r="E111" s="70" t="str">
        <x:v>π0.7 conditions a generalist robot policy on language and additional context such as subgoal images and task-performance metadata. This conditioning supports steering the execution strategy while training on demonstrations, autonomous experience, and non-robot data.</x:v>
      </x:c>
      <x:c r="F111" s="81" t="str">
        <x:v>https://arxiv.org/abs/2604.15483</x:v>
      </x:c>
      <x:c r="G111" s="70" t="str">
        <x:v>Paper</x:v>
      </x:c>
      <x:c r="H111" s="80" t="str">
        <x:v>Pending</x:v>
      </x:c>
    </x:row>
    <x:row r="112" ht="87" customHeight="1">
      <x:c r="A112" s="79" t="n">
        <x:v>104</x:v>
      </x:c>
      <x:c r="B112" s="70" t="str">
        <x:v>lingbotvla2</x:v>
      </x:c>
      <x:c r="C112" s="79" t="n">
        <x:v>2026</x:v>
      </x:c>
      <x:c r="D112" s="70" t="str">
        <x:v>W. Wu, F. Wang, F. Lu, H. Sun, S. Liu, Y. Wang, Y. Yan, Y. Wang, S. Ma, X. Wang, Y. Liu, S. Yang, T. Zhou, K. Zhang, L. Zhou, C. Su, N. Xue, B. Tan, H. Zhang, Y. Zhang, F. Liao, X. Zhu, Y. Shen, and K. Zheng, “From foundation to application: Improving VLA models in practice,” arXiv preprint arXiv:2607.06403, 2026.</x:v>
      </x:c>
      <x:c r="E112" s="70" t="str">
        <x:v>LingBot-VLA 2.0 extends a generalist VLA with whole-body action spaces and training across multiple robot embodiments and human videos. Auxiliary future prediction uses video-representation and depth-estimation supervision to connect action learning with temporal and geometric information.</x:v>
      </x:c>
      <x:c r="F112" s="81" t="str">
        <x:v>https://arxiv.org/abs/2607.06403</x:v>
      </x:c>
      <x:c r="G112" s="70" t="str">
        <x:v>Paper</x:v>
      </x:c>
      <x:c r="H112" s="80" t="str">
        <x:v>Pending</x:v>
      </x:c>
    </x:row>
    <x:row r="113" ht="72" customHeight="1">
      <x:c r="A113" s="79" t="n">
        <x:v>105</x:v>
      </x:c>
      <x:c r="B113" s="70" t="str">
        <x:v>gr2</x:v>
      </x:c>
      <x:c r="C113" s="79" t="n">
        <x:v>2024</x:v>
      </x:c>
      <x:c r="D113" s="70" t="str">
        <x:v>C.-L. Cheang, G. Chen, Y. Jing, T. Kong, H. Li, Y. Li, Y. Liu, H. Wu, J. Xu, Y. Yang et al., “GR-2: A generative video-language-action model with web-scale knowledge for robot manipulation,” arXiv preprint arXiv:2410.06158, 2024.</x:v>
      </x:c>
      <x:c r="E113" s="70" t="str">
        <x:v>GR-2 combines large-scale video pretraining with joint video and action learning for robotic manipulation. Its predictive-policy formulation connects visual knowledge from web video to robot trajectories.</x:v>
      </x:c>
      <x:c r="F113" s="81" t="str">
        <x:v>https://arxiv.org/abs/2410.06158</x:v>
      </x:c>
      <x:c r="G113" s="70" t="str">
        <x:v>Paper</x:v>
      </x:c>
      <x:c r="H113" s="80" t="str">
        <x:v>Pending</x:v>
      </x:c>
    </x:row>
    <x:row r="114" ht="62" customHeight="1">
      <x:c r="A114" s="79" t="n">
        <x:v>106</x:v>
      </x:c>
      <x:c r="B114" s="70" t="str">
        <x:v>helix02</x:v>
      </x:c>
      <x:c r="C114" s="79" t="n">
        <x:v>2026</x:v>
      </x:c>
      <x:c r="D114" s="70" t="str">
        <x:v>Figure AI, “Introducing Helix 02: Full-body autonomy,” Figure technical blog, Jan. 2026, jan. 27, 2026. Accessed: Sep. 30, 2026.</x:v>
      </x:c>
      <x:c r="E114" s="70" t="str">
        <x:v>Helix 02 combines language and scene reasoning, a full-body visuomotor policy, and a learned low-level whole-body controller. The vendor describes coordinated locomotion and manipulation using visual, tactile, and proprioceptive inputs.</x:v>
      </x:c>
      <x:c r="F114" s="81" t="str">
        <x:v>https://www.figure.ai/news/helix-02</x:v>
      </x:c>
      <x:c r="G114" s="70" t="str">
        <x:v>Technical release / software</x:v>
      </x:c>
      <x:c r="H114" s="80" t="str">
        <x:v>Pending</x:v>
      </x:c>
    </x:row>
    <x:row r="115" ht="62" customHeight="1">
      <x:c r="A115" s="79" t="n">
        <x:v>107</x:v>
      </x:c>
      <x:c r="B115" s="70" t="str">
        <x:v>dagger</x:v>
      </x:c>
      <x:c r="C115" s="79" t="n">
        <x:v>2011</x:v>
      </x:c>
      <x:c r="D115" s="70" t="str">
        <x:v>S. Ross, G. J. Gordon, and J. A. Bagnell, “A reduction of imitation learning and structured prediction to no-regret online learning,” in Proc. Int. Conf. Artif. Intell. Statist. (AISTATS), 2011.</x:v>
      </x:c>
      <x:c r="E115" s="70" t="str">
        <x:v>DAgger addresses imitation-learning distribution shift by iteratively collecting expert labels on states encountered by the learner. The paper connects this data-aggregation procedure to no-regret online learning and sequential prediction.</x:v>
      </x:c>
      <x:c r="F115" s="81" t="str">
        <x:v>https://proceedings.mlr.press/v15/ross11a/ross11a.pdf</x:v>
      </x:c>
      <x:c r="G115" s="70" t="str">
        <x:v>Paper</x:v>
      </x:c>
      <x:c r="H115" s="80" t="str">
        <x:v>Pending</x:v>
      </x:c>
    </x:row>
    <x:row r="116" ht="72" customHeight="1">
      <x:c r="A116" s="79" t="n">
        <x:v>108</x:v>
      </x:c>
      <x:c r="B116" s="70" t="str">
        <x:v>droid</x:v>
      </x:c>
      <x:c r="C116" s="79" t="n">
        <x:v>2024</x:v>
      </x:c>
      <x:c r="D116" s="70" t="str">
        <x:v>A. Khazatsky, K. Pertsch, S. Nair, A. Balakrishna, S. Dasari, S. Karamcheti, S. Nasiriany, M. K. Srirama, L. Y. Chen, K. Ellis et al., “DROID: A large-scale in-the-wild robot manipulation dataset,” arXiv preprint arXiv:2403.12945, 2024, published RSS 2024.</x:v>
      </x:c>
      <x:c r="E116" s="70" t="str">
        <x:v>DROID provides diverse real-world robot manipulation demonstrations collected across environments. It supports research on policy learning and generalization from robot observations and actions.</x:v>
      </x:c>
      <x:c r="F116" s="81" t="str">
        <x:v>https://arxiv.org/abs/2403.12945</x:v>
      </x:c>
      <x:c r="G116" s="70" t="str">
        <x:v>Paper</x:v>
      </x:c>
      <x:c r="H116" s="80" t="str">
        <x:v>Pending</x:v>
      </x:c>
    </x:row>
    <x:row r="117" ht="62" customHeight="1">
      <x:c r="A117" s="79" t="n">
        <x:v>109</x:v>
      </x:c>
      <x:c r="B117" s="70" t="str">
        <x:v>cosmos</x:v>
      </x:c>
      <x:c r="C117" s="79" t="n">
        <x:v>2025</x:v>
      </x:c>
      <x:c r="D117" s="70" t="str">
        <x:v>NVIDIA, “Cosmos world foundation model platform for physical AI,” arXiv preprint arXiv:2501.03575, 2025.</x:v>
      </x:c>
      <x:c r="E117" s="70" t="str">
        <x:v>Cosmos provides video tokenization and generative world foundation models for physical-AI development. Action conditioning and robot-control use depend on the particular model and its adaptation.</x:v>
      </x:c>
      <x:c r="F117" s="81" t="str">
        <x:v>https://arxiv.org/abs/2501.03575</x:v>
      </x:c>
      <x:c r="G117" s="70" t="str">
        <x:v>Paper</x:v>
      </x:c>
      <x:c r="H117" s="80" t="str">
        <x:v>Pending</x:v>
      </x:c>
    </x:row>
    <x:row r="118" ht="62" customHeight="1">
      <x:c r="A118" s="79" t="n">
        <x:v>110</x:v>
      </x:c>
      <x:c r="B118" s="70" t="str">
        <x:v>physicsiq</x:v>
      </x:c>
      <x:c r="C118" s="79" t="n">
        <x:v>2025</x:v>
      </x:c>
      <x:c r="D118" s="70" t="str">
        <x:v>S. Motamed, L. Culp, K. Swersky, P. Jaini, and R. Geirhos, “Do generative video models understand physical laws?” in Proc. IEEE/CVF Int. Conf. Comput. Vis. (ICCV), 2025, arXiv:2501.09038.</x:v>
      </x:c>
      <x:c r="E118" s="70" t="str">
        <x:v>Physics-IQ evaluates physical prediction using paired real videos rather than visual plausibility alone. It supplies evidence about physical consistency in generative video models without directly measuring robot-control success.</x:v>
      </x:c>
      <x:c r="F118" s="81" t="str">
        <x:v>https://arxiv.org/abs/2501.09038</x:v>
      </x:c>
      <x:c r="G118" s="70" t="str">
        <x:v>Paper</x:v>
      </x:c>
      <x:c r="H118" s="80" t="str">
        <x:v>Pending</x:v>
      </x:c>
    </x:row>
    <x:row r="119" ht="62" customHeight="1">
      <x:c r="A119" s="79" t="n">
        <x:v>111</x:v>
      </x:c>
      <x:c r="B119" s="70" t="str">
        <x:v>wmbench</x:v>
      </x:c>
      <x:c r="C119" s="79" t="n">
        <x:v>2025</x:v>
      </x:c>
      <x:c r="D119" s="70" t="str">
        <x:v>Li et al., “WorldModelBench: Judging video generation models as world models,” arXiv preprint arXiv:2502.20694, 2025.</x:v>
      </x:c>
      <x:c r="E119" s="70" t="str">
        <x:v>WorldModelBench evaluates instruction-conditioned video generation against physical principles. It assesses properties of generated worlds rather than serving as a direct manipulation-policy success benchmark.</x:v>
      </x:c>
      <x:c r="F119" s="81" t="str">
        <x:v>https://arxiv.org/abs/2502.20694</x:v>
      </x:c>
      <x:c r="G119" s="70" t="str">
        <x:v>Paper</x:v>
      </x:c>
      <x:c r="H119" s="80" t="str">
        <x:v>Pending</x:v>
      </x:c>
    </x:row>
    <x:row r="120" ht="62" customHeight="1">
      <x:c r="A120" s="79" t="n">
        <x:v>112</x:v>
      </x:c>
      <x:c r="B120" s="70" t="str">
        <x:v>vbench2</x:v>
      </x:c>
      <x:c r="C120" s="79" t="n">
        <x:v>2025</x:v>
      </x:c>
      <x:c r="D120" s="70" t="str">
        <x:v>Z. Huang et al., “VBench-2.0: Advancing video generation benchmark suite for intrinsic faithfulness,” arXiv preprint arXiv:2503.21755, 2025.</x:v>
      </x:c>
      <x:c r="E120" s="70" t="str">
        <x:v>VBench-2.0 evaluates generated video for human fidelity, controllability, creativity, physics, and commonsense. Its metrics target intrinsic faithfulness beyond surface visual plausibility.</x:v>
      </x:c>
      <x:c r="F120" s="81" t="str">
        <x:v>https://arxiv.org/abs/2503.21755</x:v>
      </x:c>
      <x:c r="G120" s="70" t="str">
        <x:v>Paper</x:v>
      </x:c>
      <x:c r="H120" s="80" t="str">
        <x:v>Pending</x:v>
      </x:c>
    </x:row>
    <x:row r="121" ht="62" customHeight="1">
      <x:c r="A121" s="79" t="n">
        <x:v>113</x:v>
      </x:c>
      <x:c r="B121" s="70" t="str">
        <x:v>simplerenv</x:v>
      </x:c>
      <x:c r="C121" s="79" t="n">
        <x:v>2024</x:v>
      </x:c>
      <x:c r="D121" s="70" t="str">
        <x:v>X. Li, K. Hsu, J. Gu, K. Pertsch, O. Mees, H. R. Walke, C. Fu, I. Lunawat, I. Sieh, S. Kirmani et al., “Evaluating real-world robot manipulation policies in simulation,” arXiv preprint arXiv:2405.05941, 2024.</x:v>
      </x:c>
      <x:c r="E121" s="70" t="str">
        <x:v>SimplerEnv constructs simulated evaluations intended to correspond to physical robot manipulation settings. It studies how closely policy performance in these simulations tracks real-world evaluation.</x:v>
      </x:c>
      <x:c r="F121" s="81" t="str">
        <x:v>https://arxiv.org/abs/2405.05941</x:v>
      </x:c>
      <x:c r="G121" s="70" t="str">
        <x:v>Paper</x:v>
      </x:c>
      <x:c r="H121" s="80" t="str">
        <x:v>Pending</x:v>
      </x:c>
    </x:row>
    <x:row r="122" ht="72" customHeight="1">
      <x:c r="A122" s="79" t="n">
        <x:v>114</x:v>
      </x:c>
      <x:c r="B122" s="70" t="str">
        <x:v>safelibero</x:v>
      </x:c>
      <x:c r="C122" s="79" t="n">
        <x:v>2026</x:v>
      </x:c>
      <x:c r="D122" s="70" t="str">
        <x:v>R. Cui, Z. Zhang, J. Pang, H. Chi, J. Guo, S. Zhang, S. Xie, X. Jin, Y. Mu, J. Yang, G. Yao, X. Zhan, Y.-Q. Zhang, and H. Zhao, “LIBERO-Safety: A comprehensive benchmark for physical and semantic safety in vision-language-action models,” arXiv preprint arXiv:2606.23686, 2026.</x:v>
      </x:c>
      <x:c r="E122" s="70" t="str">
        <x:v>LIBERO-Safety procedurally generates safety-critical manipulation scenarios and accompanying collision-free demonstrations. It evaluates physical and semantic safety properties of embodied policies under task constraints.</x:v>
      </x:c>
      <x:c r="F122" s="81" t="str">
        <x:v>https://arxiv.org/abs/2606.23686</x:v>
      </x:c>
      <x:c r="G122" s="70" t="str">
        <x:v>Paper</x:v>
      </x:c>
      <x:c r="H122" s="80" t="str">
        <x:v>Pending</x:v>
      </x:c>
    </x:row>
    <x:row r="123" ht="72" customHeight="1">
      <x:c r="A123" s="79" t="n">
        <x:v>115</x:v>
      </x:c>
      <x:c r="B123" s="70" t="str">
        <x:v>knowno</x:v>
      </x:c>
      <x:c r="C123" s="79" t="n">
        <x:v>2023</x:v>
      </x:c>
      <x:c r="D123" s="70" t="str">
        <x:v>A. Z. Ren, A. Dixit, A. Bodrova, S. Singh, S. Tu, N. Brown, P. Xu, L. Takayama, F. Xia, J. Varley et al., “Robots that ask for help: Uncertainty alignment for large language model planners,” in Proc. Conf. Robot Learn. (CoRL), 2023, arXiv:2307.01928.</x:v>
      </x:c>
      <x:c r="E123" s="70" t="str">
        <x:v>KnowNo uses conformal prediction to calibrate uncertainty in language-model planning. The framework uses this uncertainty to determine when a robot should request human assistance.</x:v>
      </x:c>
      <x:c r="F123" s="81" t="str">
        <x:v>https://arxiv.org/abs/2307.01928</x:v>
      </x:c>
      <x:c r="G123" s="70" t="str">
        <x:v>Paper</x:v>
      </x:c>
      <x:c r="H123" s="80" t="str">
        <x:v>Pending</x:v>
      </x:c>
    </x:row>
    <x:row r="124" ht="62" customHeight="1">
      <x:c r="A124" s="79" t="n">
        <x:v>116</x:v>
      </x:c>
      <x:c r="B124" s="70" t="str">
        <x:v>cbf</x:v>
      </x:c>
      <x:c r="C124" s="79" t="n">
        <x:v>2019</x:v>
      </x:c>
      <x:c r="D124" s="70" t="str">
        <x:v>A. D. Ames, S. Coogan, M. Egerstedt, G. Notomista, K. Sreenath, and P. Tabuada, “Control barrier functions: Theory and applications,” in Proc. Eur. Control Conf. (ECC), 2019.</x:v>
      </x:c>
      <x:c r="E124" s="70" t="str">
        <x:v>This overview explains how control barrier functions can verify and enforce safety properties of dynamical systems. It connects the theory to optimization-based safety-critical controllers and robotic applications.</x:v>
      </x:c>
      <x:c r="F124" s="81" t="str">
        <x:v>https://arxiv.org/abs/1903.11199</x:v>
      </x:c>
      <x:c r="G124" s="70" t="str">
        <x:v>Paper</x:v>
      </x:c>
      <x:c r="H124" s="80" t="str">
        <x:v>Pending</x:v>
      </x:c>
    </x:row>
    <x:row r="125" ht="62" customHeight="1">
      <x:c r="A125" s="79" t="n">
        <x:v>117</x:v>
      </x:c>
      <x:c r="B125" s="70" t="str">
        <x:v>hjreach</x:v>
      </x:c>
      <x:c r="C125" s="79" t="n">
        <x:v>2017</x:v>
      </x:c>
      <x:c r="D125" s="70" t="str">
        <x:v>S. Bansal, M. Chen, S. Herbert, and C. J. Tomlin, “Hamilton–Jacobi reachability: A brief overview and recent advances,” in Proc. IEEE Conf. Decis. Control (CDC), 2017.</x:v>
      </x:c>
      <x:c r="E125" s="70" t="str">
        <x:v>This tutorial reviews Hamilton-Jacobi reachability for analyzing safety and performance of nonlinear dynamical systems with bounded disturbances. It also discusses numerical tools and approaches to the computational difficulty of high-dimensional systems.</x:v>
      </x:c>
      <x:c r="F125" s="81" t="str">
        <x:v>https://arxiv.org/abs/1709.07523</x:v>
      </x:c>
      <x:c r="G125" s="70" t="str">
        <x:v>Paper</x:v>
      </x:c>
      <x:c r="H125" s="80" t="str">
        <x:v>Pending</x:v>
      </x:c>
    </x:row>
    <x:row r="126" ht="62" customHeight="1">
      <x:c r="A126" s="79" t="n">
        <x:v>118</x:v>
      </x:c>
      <x:c r="B126" s="70" t="str">
        <x:v>worldmodels2018</x:v>
      </x:c>
      <x:c r="C126" s="79" t="n">
        <x:v>2018</x:v>
      </x:c>
      <x:c r="D126" s="70" t="str">
        <x:v>D. Ha and J. Schmidhuber, “World models,” arXiv preprint arXiv:1803.10122, 2018.</x:v>
      </x:c>
      <x:c r="E126" s="70" t="str">
        <x:v>World Models combines a variational image encoder, recurrent latent dynamics, and a compact controller. It demonstrates learning behavior within a learned environment in simulated control tasks.</x:v>
      </x:c>
      <x:c r="F126" s="81" t="str">
        <x:v>https://arxiv.org/abs/1803.10122</x:v>
      </x:c>
      <x:c r="G126" s="70" t="str">
        <x:v>Paper</x:v>
      </x:c>
      <x:c r="H126" s="80" t="str">
        <x:v>Pending</x:v>
      </x:c>
    </x:row>
    <x:row r="127" ht="62" customHeight="1">
      <x:c r="A127" s="79" t="n">
        <x:v>119</x:v>
      </x:c>
      <x:c r="B127" s="70" t="str">
        <x:v>planet</x:v>
      </x:c>
      <x:c r="C127" s="79" t="n">
        <x:v>2019</x:v>
      </x:c>
      <x:c r="D127" s="70" t="str">
        <x:v>D. Hafner, T. Lillicrap, I. Fischer, R. Villegas, D. Ha, H. Lee, and J. Davidson, “Learning latent dynamics for planning from pixels,” in Proc. Int. Conf. Mach. Learn. (ICML), 2019, arXiv:1811.04551.</x:v>
      </x:c>
      <x:c r="E127" s="70" t="str">
        <x:v>PlaNet learns action-conditioned recurrent latent dynamics from images. It uses model-predictive control to select action sequences by evaluating imagined futures.</x:v>
      </x:c>
      <x:c r="F127" s="81" t="str">
        <x:v>https://arxiv.org/abs/1811.04551</x:v>
      </x:c>
      <x:c r="G127" s="70" t="str">
        <x:v>Paper</x:v>
      </x:c>
      <x:c r="H127" s="80" t="str">
        <x:v>Pending</x:v>
      </x:c>
    </x:row>
    <x:row r="128" ht="62" customHeight="1">
      <x:c r="A128" s="79" t="n">
        <x:v>120</x:v>
      </x:c>
      <x:c r="B128" s="70" t="str">
        <x:v>dreamerv3</x:v>
      </x:c>
      <x:c r="C128" s="79" t="n">
        <x:v>2025</x:v>
      </x:c>
      <x:c r="D128" s="70" t="str">
        <x:v>D. Hafner, J. Pasukonis, J. Ba, and T. Lillicrap, “Mastering diverse control tasks through world models,” Nature, vol. 640, pp. 647–653, 2025.</x:v>
      </x:c>
      <x:c r="E128" s="70" t="str">
        <x:v>DreamerV3 learns policies and value functions through trajectories imagined in a latent dynamics model. Its training design aims to support varied control domains with a common configuration.</x:v>
      </x:c>
      <x:c r="F128" s="81" t="str">
        <x:v>https://arxiv.org/abs/2301.04104</x:v>
      </x:c>
      <x:c r="G128" s="70" t="str">
        <x:v>Paper</x:v>
      </x:c>
      <x:c r="H128" s="80" t="str">
        <x:v>Pending</x:v>
      </x:c>
    </x:row>
    <x:row r="129" ht="72" customHeight="1">
      <x:c r="A129" s="79" t="n">
        <x:v>121</x:v>
      </x:c>
      <x:c r="B129" s="70" t="str">
        <x:v>muzero</x:v>
      </x:c>
      <x:c r="C129" s="79" t="n">
        <x:v>2020</x:v>
      </x:c>
      <x:c r="D129" s="70" t="str">
        <x:v>J. Schrittwieser, I. Antonoglou, T. Hubert, K. Simonyan, L. Sifre, S. Schmitt, A. Guez, E. Lockhart, D. Hassabis, T. Graepel et al., “Mastering Atari, Go, chess and shogi by planning with a learned model,” Nature, vol. 588, pp. 604–609, 2020.</x:v>
      </x:c>
      <x:c r="E129" s="70" t="str">
        <x:v>MuZero learns latent transitions that predict rewards, values, and action priors for tree search. Its cited demonstrations concern games, with planning-relevant prediction that does not require observation reconstruction.</x:v>
      </x:c>
      <x:c r="F129" s="81" t="str">
        <x:v>https://arxiv.org/abs/1911.08265</x:v>
      </x:c>
      <x:c r="G129" s="70" t="str">
        <x:v>Paper</x:v>
      </x:c>
      <x:c r="H129" s="80" t="str">
        <x:v>Pending</x:v>
      </x:c>
    </x:row>
    <x:row r="130" ht="62" customHeight="1">
      <x:c r="A130" s="79" t="n">
        <x:v>122</x:v>
      </x:c>
      <x:c r="B130" s="70" t="str">
        <x:v>tdmpc2</x:v>
      </x:c>
      <x:c r="C130" s="79" t="n">
        <x:v>2024</x:v>
      </x:c>
      <x:c r="D130" s="70" t="str">
        <x:v>N. Hansen, H. Su, and X. Wang, “TD-MPC2: Scalable, robust world models for continuous control,” in Proc. Int. Conf. Learn. Representations (ICLR), 2024, arXiv:2310.16828.</x:v>
      </x:c>
      <x:c r="E130" s="70" t="str">
        <x:v>TD-MPC2 learns task-conditioned latent dynamics and value functions for continuous control. These predictions support model-predictive control across multiple tasks.</x:v>
      </x:c>
      <x:c r="F130" s="81" t="str">
        <x:v>https://arxiv.org/abs/2310.16828</x:v>
      </x:c>
      <x:c r="G130" s="70" t="str">
        <x:v>Paper</x:v>
      </x:c>
      <x:c r="H130" s="80" t="str">
        <x:v>Pending</x:v>
      </x:c>
    </x:row>
    <x:row r="131" ht="62" customHeight="1">
      <x:c r="A131" s="79" t="n">
        <x:v>123</x:v>
      </x:c>
      <x:c r="B131" s="70" t="str">
        <x:v>unipi</x:v>
      </x:c>
      <x:c r="C131" s="79" t="n">
        <x:v>2023</x:v>
      </x:c>
      <x:c r="D131" s="70" t="str">
        <x:v>Y. Du, S. Yang, B. Dai, H. Dai, O. Nachum, J. B. Tenenbaum, D. Schuurmans, and P. Abbeel, “Learning universal policies via text-guided video generation,” in Adv. Neural Inf. Process. Syst. (NeurIPS), 2023.</x:v>
      </x:c>
      <x:c r="E131" s="70" t="str">
        <x:v>UniPi generates a language-conditioned video plan and recovers executable actions through inverse dynamics. The generated plan is a visual action proposal rather than a forward prediction conditioned on supplied candidate robot actions.</x:v>
      </x:c>
      <x:c r="F131" s="81" t="str">
        <x:v>https://arxiv.org/abs/2302.00111</x:v>
      </x:c>
      <x:c r="G131" s="70" t="str">
        <x:v>Paper</x:v>
      </x:c>
      <x:c r="H131" s="80" t="str">
        <x:v>Pending</x:v>
      </x:c>
    </x:row>
    <x:row r="132" ht="62" customHeight="1">
      <x:c r="A132" s="79" t="n">
        <x:v>124</x:v>
      </x:c>
      <x:c r="B132" s="70" t="str">
        <x:v>unisim</x:v>
      </x:c>
      <x:c r="C132" s="79" t="n">
        <x:v>2024</x:v>
      </x:c>
      <x:c r="D132" s="70" t="str">
        <x:v>S. Yang, Y. Du, K. Ghasemipour, J. Tompson, L. Kaelbling, D. Schuurmans, and P. Abbeel, “Learning interactive real-world simulators,” in Proc. Int. Conf. Learn. Representations (ICLR), 2024.</x:v>
      </x:c>
      <x:c r="E132" s="70" t="str">
        <x:v>UniSim learns an interactive video simulator that responds to high-level instructions or low-level controls. It supports policy learning and evaluation through generated environment interactions.</x:v>
      </x:c>
      <x:c r="F132" s="81" t="str">
        <x:v>https://arxiv.org/abs/2310.06114</x:v>
      </x:c>
      <x:c r="G132" s="70" t="str">
        <x:v>Paper</x:v>
      </x:c>
      <x:c r="H132" s="80" t="str">
        <x:v>Pending</x:v>
      </x:c>
    </x:row>
    <x:row r="133" ht="62" customHeight="1">
      <x:c r="A133" s="79" t="n">
        <x:v>125</x:v>
      </x:c>
      <x:c r="B133" s="70" t="str">
        <x:v>avdc</x:v>
      </x:c>
      <x:c r="C133" s="79" t="n">
        <x:v>2024</x:v>
      </x:c>
      <x:c r="D133" s="70" t="str">
        <x:v>P.-C. Ko, J. Mao, Y. Du, S.-H. Sun, and J. B. Tenenbaum, “Learning to act from actionless videos through dense correspondences,” in International Conference on Learning Representations (ICLR), 2024, arXiv:2310.08576.</x:v>
      </x:c>
      <x:c r="E133" s="70" t="str">
        <x:v>AVDC generates task-directed videos and uses dense correspondences between frames to infer control actions. This connects action-free video demonstrations to robot execution.</x:v>
      </x:c>
      <x:c r="F133" s="81" t="str">
        <x:v>https://arxiv.org/abs/2310.08576</x:v>
      </x:c>
      <x:c r="G133" s="70" t="str">
        <x:v>Paper</x:v>
      </x:c>
      <x:c r="H133" s="80" t="str">
        <x:v>Pending</x:v>
      </x:c>
    </x:row>
    <x:row r="134" ht="72" customHeight="1">
      <x:c r="A134" s="79" t="n">
        <x:v>126</x:v>
      </x:c>
      <x:c r="B134" s="70" t="str">
        <x:v>susie</x:v>
      </x:c>
      <x:c r="C134" s="79" t="n">
        <x:v>2024</x:v>
      </x:c>
      <x:c r="D134" s="70" t="str">
        <x:v>K. Black, M. Nakamoto, P. Atreya, H. Walke, C. Finn, A. Kumar, and S. Levine, “Zero-shot robotic manipulation with pretrained image-editing diffusion models,” in International Conference on Learning Representations (ICLR), 2024, arXiv:2310.10639.</x:v>
      </x:c>
      <x:c r="E134" s="70" t="str">
        <x:v>SuSIE adapts an image-editing diffusion model to propose visual subgoals from an observation and language instruction. A goal-conditioned controller executes the proposed subgoals.</x:v>
      </x:c>
      <x:c r="F134" s="81" t="str">
        <x:v>https://arxiv.org/abs/2310.10639</x:v>
      </x:c>
      <x:c r="G134" s="70" t="str">
        <x:v>Paper</x:v>
      </x:c>
      <x:c r="H134" s="80" t="str">
        <x:v>Pending</x:v>
      </x:c>
    </x:row>
    <x:row r="135" ht="72" customHeight="1">
      <x:c r="A135" s="79" t="n">
        <x:v>127</x:v>
      </x:c>
      <x:c r="B135" s="70" t="str">
        <x:v>vlp</x:v>
      </x:c>
      <x:c r="C135" s="79" t="n">
        <x:v>2024</x:v>
      </x:c>
      <x:c r="D135" s="70" t="str">
        <x:v>Y. Du, S. Yang, P. Florence, F. Xia, A. Wahid, B. Ichter, P. Sermanet, T. Yu, P. Abbeel, J. B. Tenenbaum, L. Kaelbling, A. Zeng, and J. Tompson, “Video language planning,” in International Conference on Learning Representations (ICLR), 2024, arXiv:2310.10625.</x:v>
      </x:c>
      <x:c r="E135" s="70" t="str">
        <x:v>Video Language Planning searches over language proposals and generated video continuations using vision-language policies and value functions. A goal-conditioned policy executes the resulting visual plan.</x:v>
      </x:c>
      <x:c r="F135" s="81" t="str">
        <x:v>https://arxiv.org/abs/2310.10625</x:v>
      </x:c>
      <x:c r="G135" s="70" t="str">
        <x:v>Paper</x:v>
      </x:c>
      <x:c r="H135" s="80" t="str">
        <x:v>Pending</x:v>
      </x:c>
    </x:row>
    <x:row r="136" ht="62" customHeight="1">
      <x:c r="A136" s="79" t="n">
        <x:v>128</x:v>
      </x:c>
      <x:c r="B136" s="70" t="str">
        <x:v>ivideogpt</x:v>
      </x:c>
      <x:c r="C136" s="79" t="n">
        <x:v>2024</x:v>
      </x:c>
      <x:c r="D136" s="70" t="str">
        <x:v>J. Wu, S. Yin, N. Feng, X. He, D. Li, J. Hao, and M. Long, “iVideoGPT: Interactive VideoGPTs are scalable world models,” in Advances in Neural Information Processing Systems (NeurIPS), 2024, arXiv:2405.15223.</x:v>
      </x:c>
      <x:c r="E136" s="70" t="str">
        <x:v>iVideoGPT autoregressively models tokenized observations, actions, and rewards. Its learned dynamics support interactive video prediction, visual planning, and model-based reinforcement learning.</x:v>
      </x:c>
      <x:c r="F136" s="81" t="str">
        <x:v>https://arxiv.org/abs/2405.15223</x:v>
      </x:c>
      <x:c r="G136" s="70" t="str">
        <x:v>Paper</x:v>
      </x:c>
      <x:c r="H136" s="80" t="str">
        <x:v>Pending</x:v>
      </x:c>
    </x:row>
    <x:row r="137" ht="72" customHeight="1">
      <x:c r="A137" s="79" t="n">
        <x:v>129</x:v>
      </x:c>
      <x:c r="B137" s="70" t="str">
        <x:v>gr1</x:v>
      </x:c>
      <x:c r="C137" s="79" t="n">
        <x:v>2024</x:v>
      </x:c>
      <x:c r="D137" s="70" t="str">
        <x:v>H. Wu, Y. Jing, C. Cheang, G. Chen, J. Xu, X. Li, M. Liu, H. Li, and T. Kong, “Unleashing large-scale video generative pre-training for visual robot manipulation,” in Proc. Int. Conf. Learn. Representations (ICLR), 2024, arXiv:2312.13139.</x:v>
      </x:c>
      <x:c r="E137" s="70" t="str">
        <x:v>GR-1 predicts future images and robot actions from language, visual history, and robot state after video pretraining. This shared predictive-policy training is distinct from searching over supplied candidate actions during deployment.</x:v>
      </x:c>
      <x:c r="F137" s="81" t="str">
        <x:v>https://arxiv.org/abs/2312.13139</x:v>
      </x:c>
      <x:c r="G137" s="70" t="str">
        <x:v>Paper</x:v>
      </x:c>
      <x:c r="H137" s="80" t="str">
        <x:v>Pending</x:v>
      </x:c>
    </x:row>
    <x:row r="138" ht="72" customHeight="1">
      <x:c r="A138" s="79" t="n">
        <x:v>130</x:v>
      </x:c>
      <x:c r="B138" s="70" t="str">
        <x:v>genie1</x:v>
      </x:c>
      <x:c r="C138" s="79" t="n">
        <x:v>2024</x:v>
      </x:c>
      <x:c r="D138" s="70" t="str">
        <x:v>J. Bruce, M. Dennis, A. Edwards, J. Parker-Holder, Y. Shi, E. Hughes, M. Lai, A. Mavalankar, R. Steigerwald, C. Apps et al., “Genie: Generative interactive environments,” in Proc. Int. Conf. Mach. Learn. (ICML), 2024, arXiv:2402.15391.</x:v>
      </x:c>
      <x:c r="E138" s="70" t="str">
        <x:v>Genie learns latent actions and interactive video dynamics from unlabelled video. Its generated environments respond to controls, providing a precursor for learned interactive simulation.</x:v>
      </x:c>
      <x:c r="F138" s="81" t="str">
        <x:v>https://arxiv.org/abs/2402.15391</x:v>
      </x:c>
      <x:c r="G138" s="70" t="str">
        <x:v>Paper</x:v>
      </x:c>
      <x:c r="H138" s="80" t="str">
        <x:v>Pending</x:v>
      </x:c>
    </x:row>
    <x:row r="139" ht="62" customHeight="1">
      <x:c r="A139" s="79" t="n">
        <x:v>131</x:v>
      </x:c>
      <x:c r="B139" s="70" t="str">
        <x:v>genie3</x:v>
      </x:c>
      <x:c r="C139" s="79" t="n">
        <x:v>2025</x:v>
      </x:c>
      <x:c r="D139" s="70" t="str">
        <x:v>Google DeepMind, “Genie 3: A new frontier for world models,” Google DeepMind announcement, 2025.</x:v>
      </x:c>
      <x:c r="E139" s="70" t="str">
        <x:v>Genie 3 generates interactive visual environments that respond to user controls. The cited research announcement concerns environment generation rather than validated physical robot dynamics.</x:v>
      </x:c>
      <x:c r="F139" s="81" t="str">
        <x:v>https://deepmind.google/blog/genie-3-a-new-frontier-for-world-models/</x:v>
      </x:c>
      <x:c r="G139" s="70" t="str">
        <x:v>Technical release / software</x:v>
      </x:c>
      <x:c r="H139" s="80" t="str">
        <x:v>Pending</x:v>
      </x:c>
    </x:row>
    <x:row r="140" ht="62" customHeight="1">
      <x:c r="A140" s="79" t="n">
        <x:v>132</x:v>
      </x:c>
      <x:c r="B140" s="70" t="str">
        <x:v>genieenvisioner</x:v>
      </x:c>
      <x:c r="C140" s="79" t="n">
        <x:v>2025</x:v>
      </x:c>
      <x:c r="D140" s="70" t="str">
        <x:v>Liao et al., “Genie envisioner: A unified world foundation platform for robotic manipulation,” arXiv preprint arXiv:2508.05635, 2025.</x:v>
      </x:c>
      <x:c r="E140" s="70" t="str">
        <x:v>Genie Envisioner connects instruction-conditioned video modeling, action generation, and learned simulation within one platform. Its GE-Base, GE-Act, and GE-Sim components serve different predictive and control roles.</x:v>
      </x:c>
      <x:c r="F140" s="81" t="str">
        <x:v>https://arxiv.org/abs/2508.05635</x:v>
      </x:c>
      <x:c r="G140" s="70" t="str">
        <x:v>Paper</x:v>
      </x:c>
      <x:c r="H140" s="80" t="str">
        <x:v>Pending</x:v>
      </x:c>
    </x:row>
    <x:row r="141" ht="72" customHeight="1">
      <x:c r="A141" s="79" t="n">
        <x:v>133</x:v>
      </x:c>
      <x:c r="B141" s="70" t="str">
        <x:v>ijepa</x:v>
      </x:c>
      <x:c r="C141" s="79" t="n">
        <x:v>2023</x:v>
      </x:c>
      <x:c r="D141" s="70" t="str">
        <x:v>M. Assran, Q. Duval, I. Misra, P. Bojanowski, P. Vincent, M. Rabbat, Y. LeCun, and N. Ballas, “Self-supervised learning from images with a joint-embedding predictive architecture,” in Proc. IEEE/CVF Conf. Comput. Vis. Pattern Recognit. (CVPR), 2023.</x:v>
      </x:c>
      <x:c r="E141" s="70" t="str">
        <x:v>I-JEPA learns image representations by predicting target-region embeddings from visible context. It is a representation-learning precursor rather than a temporal, action-conditioned robot dynamics model.</x:v>
      </x:c>
      <x:c r="F141" s="81" t="str">
        <x:v>https://arxiv.org/abs/2301.08243</x:v>
      </x:c>
      <x:c r="G141" s="70" t="str">
        <x:v>Paper</x:v>
      </x:c>
      <x:c r="H141" s="80" t="str">
        <x:v>Pending</x:v>
      </x:c>
    </x:row>
    <x:row r="142" ht="62" customHeight="1">
      <x:c r="A142" s="79" t="n">
        <x:v>134</x:v>
      </x:c>
      <x:c r="B142" s="70" t="str">
        <x:v>vjepa</x:v>
      </x:c>
      <x:c r="C142" s="79" t="n">
        <x:v>2024</x:v>
      </x:c>
      <x:c r="D142" s="70" t="str">
        <x:v>A. Bardes, Q. Garrido, J. Ponce, X. Chen, M. Rabbat, Y. LeCun, M. Assran, and N. Ballas, “Revisiting feature prediction for learning visual representations from video,” Trans. Mach. Learn. Res. (TMLR), 2024.</x:v>
      </x:c>
      <x:c r="E142" s="70" t="str">
        <x:v>V-JEPA learns video representations by predicting masked spatiotemporal features. Its action-free pretraining provides predictive representations without directly defining a robot-action-conditioned forward model.</x:v>
      </x:c>
      <x:c r="F142" s="81" t="str">
        <x:v>https://arxiv.org/abs/2404.08471</x:v>
      </x:c>
      <x:c r="G142" s="70" t="str">
        <x:v>Paper</x:v>
      </x:c>
      <x:c r="H142" s="80" t="str">
        <x:v>Pending</x:v>
      </x:c>
    </x:row>
    <x:row r="143" ht="62" customHeight="1">
      <x:c r="A143" s="79" t="n">
        <x:v>135</x:v>
      </x:c>
      <x:c r="B143" s="70" t="str">
        <x:v>dinowm</x:v>
      </x:c>
      <x:c r="C143" s="79" t="n">
        <x:v>2024</x:v>
      </x:c>
      <x:c r="D143" s="70" t="str">
        <x:v>G. Zhou, H. Pan, Y. LeCun, and L. Pinto, “DINO-WM: World models on pre-trained visual features enable zero-shot planning,” arXiv preprint arXiv:2411.04983, 2024.</x:v>
      </x:c>
      <x:c r="E143" s="70" t="str">
        <x:v>DINO-WM learns action-conditioned transitions over pretrained DINO image features. It plans toward visual goals in feature space without reconstructing future images.</x:v>
      </x:c>
      <x:c r="F143" s="81" t="str">
        <x:v>https://arxiv.org/abs/2411.04983</x:v>
      </x:c>
      <x:c r="G143" s="70" t="str">
        <x:v>Paper</x:v>
      </x:c>
      <x:c r="H143" s="80" t="str">
        <x:v>Pending</x:v>
      </x:c>
    </x:row>
    <x:row r="144" ht="62" customHeight="1">
      <x:c r="A144" s="79" t="n">
        <x:v>136</x:v>
      </x:c>
      <x:c r="B144" s="70" t="str">
        <x:v>lawam</x:v>
      </x:c>
      <x:c r="C144" s="79" t="n">
        <x:v>2026</x:v>
      </x:c>
      <x:c r="D144" s="70" t="str">
        <x:v>J. Chen, K. Wang, K. Chen, S. Chen, F. Gao, W. Tang, Z. Li, W. Liu, Z. Yao, B. Li, Y. Xu, and C. Yu, “LaWAM: Latent world action models for efficient dynamics-aware robot policies,” arXiv preprint arXiv:2606.15768, 2026.</x:v>
      </x:c>
      <x:c r="E144" s="70" t="str">
        <x:v>LaWAM predicts latent visual subgoals and conditions robot-action generation on them. It incorporates predictive information into a policy without requiring dense future-image generation.</x:v>
      </x:c>
      <x:c r="F144" s="81" t="str">
        <x:v>https://arxiv.org/abs/2606.15768</x:v>
      </x:c>
      <x:c r="G144" s="70" t="str">
        <x:v>Paper</x:v>
      </x:c>
      <x:c r="H144" s="80" t="str">
        <x:v>Pending</x:v>
      </x:c>
    </x:row>
    <x:row r="145" ht="62" customHeight="1">
      <x:c r="A145" s="79" t="n">
        <x:v>137</x:v>
      </x:c>
      <x:c r="B145" s="70" t="str">
        <x:v>jepavla</x:v>
      </x:c>
      <x:c r="C145" s="79" t="n">
        <x:v>2026</x:v>
      </x:c>
      <x:c r="D145" s="70" t="str">
        <x:v>J. Sun, W. Zhang, Z. Qi, S. Ren, Z. Liu, H. Zhu, G. Sun, X. Jin, and Z. Chen, “VLA-JEPA: Enhancing vision-language-action model with latent world model,” arXiv preprint arXiv:2602.10098, 2026.</x:v>
      </x:c>
      <x:c r="E145" s="70" t="str">
        <x:v>VLA-JEPA pretrains a policy backbone to predict future latent states from current observations. It subsequently adapts an action head, with future frames serving as training targets rather than inputs to the prediction pathway.</x:v>
      </x:c>
      <x:c r="F145" s="81" t="str">
        <x:v>https://arxiv.org/abs/2602.10098</x:v>
      </x:c>
      <x:c r="G145" s="70" t="str">
        <x:v>Paper</x:v>
      </x:c>
      <x:c r="H145" s="80" t="str">
        <x:v>Pending</x:v>
      </x:c>
    </x:row>
    <x:row r="146" ht="62" customHeight="1">
      <x:c r="A146" s="79" t="n">
        <x:v>138</x:v>
      </x:c>
      <x:c r="B146" s="70" t="str">
        <x:v>tesseract</x:v>
      </x:c>
      <x:c r="C146" s="79" t="n">
        <x:v>2025</x:v>
      </x:c>
      <x:c r="D146" s="70" t="str">
        <x:v>H. Zhen, Q. Sun, H. Zhang, J. Li, S. Zhou, Y. Du, and C. Gan, “TesserAct: Learning 4D embodied world models,” arXiv preprint arXiv:2504.20995, 2025.</x:v>
      </x:c>
      <x:c r="E146" s="70" t="str">
        <x:v>TesserAct predicts RGB, depth, and surface-normal video to represent how three-dimensional scenes evolve. Its multimodal predictions also support learning inverse dynamics for embodied tasks.</x:v>
      </x:c>
      <x:c r="F146" s="81" t="str">
        <x:v>https://arxiv.org/abs/2504.20995</x:v>
      </x:c>
      <x:c r="G146" s="70" t="str">
        <x:v>Paper</x:v>
      </x:c>
      <x:c r="H146" s="80" t="str">
        <x:v>Pending</x:v>
      </x:c>
    </x:row>
    <x:row r="147" ht="62" customHeight="1">
      <x:c r="A147" s="79" t="n">
        <x:v>139</x:v>
      </x:c>
      <x:c r="B147" s="70" t="str">
        <x:v>gaussianworld</x:v>
      </x:c>
      <x:c r="C147" s="79" t="n">
        <x:v>2025</x:v>
      </x:c>
      <x:c r="D147" s="70" t="str">
        <x:v>G. Lu, B. Jia, P. Li, Y. Chen, Z. Wang, Y. Tang, and S. Huang, “GWM: Towards scalable gaussian world models for robotic manipulation,” in IEEE/CVF International Conference on Computer Vision (ICCV), 2025, pp. 9263–9274.</x:v>
      </x:c>
      <x:c r="E147" s="70" t="str">
        <x:v>GWM models action-conditioned manipulation dynamics using Gaussian scene representations. The paper studies this representation for predictive pretraining and learned simulation.</x:v>
      </x:c>
      <x:c r="F147" s="81" t="str">
        <x:v>https://arxiv.org/abs/2508.17600</x:v>
      </x:c>
      <x:c r="G147" s="70" t="str">
        <x:v>Paper</x:v>
      </x:c>
      <x:c r="H147" s="80" t="str">
        <x:v>Pending</x:v>
      </x:c>
    </x:row>
    <x:row r="148" ht="62" customHeight="1">
      <x:c r="A148" s="79" t="n">
        <x:v>140</x:v>
      </x:c>
      <x:c r="B148" s="70" t="str">
        <x:v>manigaussian</x:v>
      </x:c>
      <x:c r="C148" s="79" t="n">
        <x:v>2024</x:v>
      </x:c>
      <x:c r="D148" s="70" t="str">
        <x:v>G. Lu, S. Zhang, Z. Wang, C. Liu, J. Lu, and Y. Tang, “ManiGaussian: Dynamic gaussian splatting for multi-task robotic manipulation,” in European Conference on Computer Vision (ECCV), 2024, arXiv:2403.08321.</x:v>
      </x:c>
      <x:c r="E148" s="70" t="str">
        <x:v>ManiGaussian uses dynamic Gaussian representations and future-scene reconstruction as predictive supervision for manipulation. Its language-conditioned policy evaluation is conducted in RLBench simulation.</x:v>
      </x:c>
      <x:c r="F148" s="81" t="str">
        <x:v>https://arxiv.org/abs/2403.08321</x:v>
      </x:c>
      <x:c r="G148" s="70" t="str">
        <x:v>Paper</x:v>
      </x:c>
      <x:c r="H148" s="80" t="str">
        <x:v>Pending</x:v>
      </x:c>
    </x:row>
    <x:row r="149" ht="72" customHeight="1">
      <x:c r="A149" s="79" t="n">
        <x:v>141</x:v>
      </x:c>
      <x:c r="B149" s="70" t="str">
        <x:v>physdreamer</x:v>
      </x:c>
      <x:c r="C149" s="79" t="n">
        <x:v>2024</x:v>
      </x:c>
      <x:c r="D149" s="70" t="str">
        <x:v>T. Zhang, H.-X. Yu, R. Wu, B. Y. Feng, C. Zheng, N. Snavely, J. Wu, and W. T. Freeman, “PhysDreamer: Physics-based interaction with 3D objects via video generation,” in European Conference on Computer Vision (ECCV), 2024, arXiv:2404.13026.</x:v>
      </x:c>
      <x:c r="E149" s="70" t="str">
        <x:v>PhysDreamer distills motion information from video generation into physical material estimates and interactive three-dimensional dynamics. Its object-response demonstrations provide context for physical prediction rather than direct evidence of robot task success.</x:v>
      </x:c>
      <x:c r="F149" s="81" t="str">
        <x:v>https://arxiv.org/abs/2404.13026</x:v>
      </x:c>
      <x:c r="G149" s="70" t="str">
        <x:v>Paper</x:v>
      </x:c>
      <x:c r="H149" s="80" t="str">
        <x:v>Pending</x:v>
      </x:c>
    </x:row>
    <x:row r="150" ht="62" customHeight="1">
      <x:c r="A150" s="79" t="n">
        <x:v>142</x:v>
      </x:c>
      <x:c r="B150" s="70" t="str">
        <x:v>dreamtac</x:v>
      </x:c>
      <x:c r="C150" s="79" t="n">
        <x:v>2026</x:v>
      </x:c>
      <x:c r="D150" s="70" t="str">
        <x:v>S. Wu et al., “Tactile-WAM: Touch-aware world action model with tactile asymmetric attention,” arXiv preprint arXiv:2606.26663, 2026.</x:v>
      </x:c>
      <x:c r="E150" s="70" t="str">
        <x:v>Tactile-WAM jointly models visual, tactile, and action information with tactile asymmetric attention. It directs contact information toward action prediction while limiting interference with video generation.</x:v>
      </x:c>
      <x:c r="F150" s="81" t="str">
        <x:v>https://arxiv.org/abs/2606.26663</x:v>
      </x:c>
      <x:c r="G150" s="70" t="str">
        <x:v>Paper</x:v>
      </x:c>
      <x:c r="H150" s="80" t="str">
        <x:v>Pending</x:v>
      </x:c>
    </x:row>
    <x:row r="151" ht="62" customHeight="1">
      <x:c r="A151" s="79" t="n">
        <x:v>143</x:v>
      </x:c>
      <x:c r="B151" s="70" t="str">
        <x:v>touchworld</x:v>
      </x:c>
      <x:c r="C151" s="79" t="n">
        <x:v>2026</x:v>
      </x:c>
      <x:c r="D151" s="70" t="str">
        <x:v>J. Zhou, F. Hong, Y. Li, Y. Zhao, Y. Cen, Z. Liu, J. Huang, Z. Chen, R. Zhang, W. Zhu et al., “TouchWorld: A predictive and reactive tactile foundation model for dexterous manipulation,” arXiv preprint arXiv:2607.07287, 2026.</x:v>
      </x:c>
      <x:c r="E151" s="70" t="str">
        <x:v>TouchWorld combines predicted tactile subgoals and visuomotor action chunks with a faster tactile and proprioceptive correction policy. This joins predictive and reactive control for contact-rich dexterous manipulation.</x:v>
      </x:c>
      <x:c r="F151" s="81" t="str">
        <x:v>https://arxiv.org/abs/2607.07287</x:v>
      </x:c>
      <x:c r="G151" s="70" t="str">
        <x:v>Paper</x:v>
      </x:c>
      <x:c r="H151" s="80" t="str">
        <x:v>Pending</x:v>
      </x:c>
    </x:row>
    <x:row r="152" ht="72" customHeight="1">
      <x:c r="A152" s="79" t="n">
        <x:v>144</x:v>
      </x:c>
      <x:c r="B152" s="70" t="str">
        <x:v>mimicgen</x:v>
      </x:c>
      <x:c r="C152" s="79" t="n">
        <x:v>2023</x:v>
      </x:c>
      <x:c r="D152" s="70" t="str">
        <x:v>A. Mandlekar, S. Nasiriany, B. Wen, I. Akinola, Y. Narang, L. Fan, Y. Zhu, and D. Fox, “MimicGen: A data generation system for scalable robot learning using human demonstrations,” in Conference on Robot Learning (CoRL), 2023, arXiv:2310.17596.</x:v>
      </x:c>
      <x:c r="E152" s="70" t="str">
        <x:v>MimicGen transforms and recombines human demonstrations to generate additional robot trajectories in conventional simulation. It is a demonstration-expansion pipeline rather than a learned environment dynamics model.</x:v>
      </x:c>
      <x:c r="F152" s="81" t="str">
        <x:v>https://arxiv.org/abs/2310.17596</x:v>
      </x:c>
      <x:c r="G152" s="70" t="str">
        <x:v>Paper</x:v>
      </x:c>
      <x:c r="H152" s="80" t="str">
        <x:v>Pending</x:v>
      </x:c>
    </x:row>
    <x:row r="153" ht="72" customHeight="1">
      <x:c r="A153" s="79" t="n">
        <x:v>145</x:v>
      </x:c>
      <x:c r="B153" s="70" t="str">
        <x:v>dexmimicgen</x:v>
      </x:c>
      <x:c r="C153" s="79" t="n">
        <x:v>2025</x:v>
      </x:c>
      <x:c r="D153" s="70" t="str">
        <x:v>Z. Jiang, Y. Xie, K. Lin, Z. Xu, W. Wan, A. Mandlekar, L. Fan, and Y. Zhu, “DexMimicGen: Automated data generation for bimanual dexterous manipulation via imitation learning,” in IEEE International Conference on Robotics and Automation (ICRA), 2025, arXiv:2410.24185.</x:v>
      </x:c>
      <x:c r="E153" s="70" t="str">
        <x:v>DexMimicGen extends demonstration-based data generation to bimanual dexterous manipulation in simulation. It handles coordination between manipulators when synthesizing trajectories for imitation learning.</x:v>
      </x:c>
      <x:c r="F153" s="81" t="str">
        <x:v>https://arxiv.org/abs/2410.24185</x:v>
      </x:c>
      <x:c r="G153" s="70" t="str">
        <x:v>Paper</x:v>
      </x:c>
      <x:c r="H153" s="80" t="str">
        <x:v>Pending</x:v>
      </x:c>
    </x:row>
    <x:row r="154" ht="62" customHeight="1">
      <x:c r="A154" s="79" t="n">
        <x:v>146</x:v>
      </x:c>
      <x:c r="B154" s="70" t="str">
        <x:v>policyeval</x:v>
      </x:c>
      <x:c r="C154" s="79" t="n">
        <x:v>2025</x:v>
      </x:c>
      <x:c r="D154" s="70" t="str">
        <x:v>Y. Li, Y. Zhu, J. Wen, C. Shen, and Y. Xu, “WorldEval: World model as real-world robot policies evaluator,” arXiv preprint arXiv:2505.19017, 2025.</x:v>
      </x:c>
      <x:c r="E154" s="70" t="str">
        <x:v>WorldEval adapts video generation to action-following simulation using Policy2Vec. It evaluates robot policies through generated rollouts instead of requiring each evaluation to run on hardware.</x:v>
      </x:c>
      <x:c r="F154" s="81" t="str">
        <x:v>https://arxiv.org/abs/2505.19017</x:v>
      </x:c>
      <x:c r="G154" s="70" t="str">
        <x:v>Paper</x:v>
      </x:c>
      <x:c r="H154" s="80" t="str">
        <x:v>Pending</x:v>
      </x:c>
    </x:row>
    <x:row r="155" ht="62" customHeight="1">
      <x:c r="A155" s="79" t="n">
        <x:v>147</x:v>
      </x:c>
      <x:c r="B155" s="70" t="str">
        <x:v>sharma2026worldgymnast</x:v>
      </x:c>
      <x:c r="C155" s="79" t="n">
        <x:v>2026</x:v>
      </x:c>
      <x:c r="D155" s="70" t="str">
        <x:v>A. K. Sharma, Y. Sun, N. Lu, Y. Zhang, J. Liu, and S. Yang, “World-Gymnast: Training robots with reinforcement learning in a world model,” arXiv preprint arXiv:2602.02454, 2026.</x:v>
      </x:c>
      <x:c r="E155" s="70" t="str">
        <x:v>World-Gymnast trains robot policies with reinforcement learning inside a learned environment and tests transfer to hardware. Its physical-task comparisons provide evidence about the complete training-and-simulation package rather than isolating every component.</x:v>
      </x:c>
      <x:c r="F155" s="81" t="str">
        <x:v>https://arxiv.org/abs/2602.02454</x:v>
      </x:c>
      <x:c r="G155" s="70" t="str">
        <x:v>Paper</x:v>
      </x:c>
      <x:c r="H155" s="80" t="str">
        <x:v>Pending</x:v>
      </x:c>
    </x:row>
    <x:row r="156" ht="62" customHeight="1">
      <x:c r="A156" s="79" t="n">
        <x:v>148</x:v>
      </x:c>
      <x:c r="B156" s="70" t="str">
        <x:v>flarewm</x:v>
      </x:c>
      <x:c r="C156" s="79" t="n">
        <x:v>2025</x:v>
      </x:c>
      <x:c r="D156" s="70" t="str">
        <x:v>R. Zheng, J. Wang, S. Reed, J. Bjorck, Y. Fang, F. Hu, J. Jang, K. Kundalia, Z. Lin, L. Magne et al., “FLARE: Robot learning with implicit world modeling,” in Proc. Conf. Robot Learn. (CoRL), 2025, arXiv:2505.15659.</x:v>
      </x:c>
      <x:c r="E156" s="70" t="str">
        <x:v>FLARE aligns policy features with embeddings of future observations to incorporate latent prediction into diffusion-based action learning. It also supports co-training with action-free video and is distinct from the reinforcement-learning method FLaRe.</x:v>
      </x:c>
      <x:c r="F156" s="81" t="str">
        <x:v>https://arxiv.org/abs/2505.15659</x:v>
      </x:c>
      <x:c r="G156" s="70" t="str">
        <x:v>Paper</x:v>
      </x:c>
      <x:c r="H156" s="80" t="str">
        <x:v>Pending</x:v>
      </x:c>
    </x:row>
    <x:row r="157" ht="62" customHeight="1">
      <x:c r="A157" s="79" t="n">
        <x:v>149</x:v>
      </x:c>
      <x:c r="B157" s="70" t="str">
        <x:v>dreamvla</x:v>
      </x:c>
      <x:c r="C157" s="79" t="n">
        <x:v>2025</x:v>
      </x:c>
      <x:c r="D157" s="70" t="str">
        <x:v>Zhang et al., “DreamVLA: A vision-language-action model dreamed with comprehensive world knowledge,” arXiv preprint arXiv:2507.04447, 2025.</x:v>
      </x:c>
      <x:c r="E157" s="70" t="str">
        <x:v>DreamVLA forecasts compact dynamic, spatial, and semantic representations. A diffusion-based action generator conditions its manipulation commands on this predicted world information.</x:v>
      </x:c>
      <x:c r="F157" s="81" t="str">
        <x:v>https://arxiv.org/abs/2507.04447</x:v>
      </x:c>
      <x:c r="G157" s="70" t="str">
        <x:v>Paper</x:v>
      </x:c>
      <x:c r="H157" s="80" t="str">
        <x:v>Pending</x:v>
      </x:c>
    </x:row>
    <x:row r="158" ht="62" customHeight="1">
      <x:c r="A158" s="79" t="n">
        <x:v>150</x:v>
      </x:c>
      <x:c r="B158" s="70" t="str">
        <x:v>structvla</x:v>
      </x:c>
      <x:c r="C158" s="79" t="n">
        <x:v>2026</x:v>
      </x:c>
      <x:c r="D158" s="70" t="str">
        <x:v>M. Jin, M. Liao, M. Han, Z. Li, and X. Chang, “Beyond dense futures: World models as structured planners for robotic manipulation,” arXiv preprint arXiv:2603.12553, 2026.</x:v>
      </x:c>
      <x:c r="E158" s="70" t="str">
        <x:v>StructVLA first trains a generative model to predict sparse visual milestones from instructions and observation history. A second training stage adapts that model to action-token prediction conditioned on instructions and interleaved observation–action history.</x:v>
      </x:c>
      <x:c r="F158" s="81" t="str">
        <x:v>https://arxiv.org/abs/2603.12553</x:v>
      </x:c>
      <x:c r="G158" s="70" t="str">
        <x:v>Paper</x:v>
      </x:c>
      <x:c r="H158" s="80" t="str">
        <x:v>Pending</x:v>
      </x:c>
    </x:row>
    <x:row r="159" ht="62" customHeight="1">
      <x:c r="A159" s="79" t="n">
        <x:v>151</x:v>
      </x:c>
      <x:c r="B159" s="70" t="str">
        <x:v>unifolm</x:v>
      </x:c>
      <x:c r="C159" s="79" t="n">
        <x:v>2025</x:v>
      </x:c>
      <x:c r="D159" s="70" t="str">
        <x:v>Unitree Robotics, “UnifoLM-WMA-0: An open-source world-model-action architecture for humanoid robots,” Unitree open-source release, 2025.</x:v>
      </x:c>
      <x:c r="E159" s="70" t="str">
        <x:v>UnifoLM-WMA-0 is Unitree's released framework connecting predictive video dynamics with policy enhancement and learned simulation. The cited source is an official technical release rather than a separately identified peer-reviewed paper.</x:v>
      </x:c>
      <x:c r="F159" s="81" t="str">
        <x:v>https://github.com/unitreerobotics/unifolm-world-model-action</x:v>
      </x:c>
      <x:c r="G159" s="70" t="str">
        <x:v>Technical release / software</x:v>
      </x:c>
      <x:c r="H159" s="80" t="str">
        <x:v>Pending</x:v>
      </x:c>
    </x:row>
    <x:row r="160" ht="102" customHeight="1">
      <x:c r="A160" s="79" t="n">
        <x:v>152</x:v>
      </x:c>
      <x:c r="B160" s="70" t="str">
        <x:v>dreamdojo</x:v>
      </x:c>
      <x:c r="C160" s="79" t="n">
        <x:v>2026</x:v>
      </x:c>
      <x:c r="D160" s="70" t="str">
        <x:v>S. Gao, W. Liang, K. Zheng, A. N. Malik, S. Ye, S. Yu, W.-C. Tseng, Y. Dong, K. Mo, C.-H. Lin, J. Xiang, Y. Xie, R. Zheng, D. Niu, P. Jannaty, J. Gu, J. Zhang, J. Malik, P. Abbeel, M.-Y. Liu, Y. Zhu, J. Jang, and L. Fan, “DreamDojo: A generalist robot world model from large-scale human videos,” in Proceedings of the 43rd International Conference on Machine Learning, ser. Proceedings of Machine Learning Research, vol. 306, 2026, pp. 33340–33366.</x:v>
      </x:c>
      <x:c r="E160" s="70" t="str">
        <x:v>DreamDojo learns an action-conditioned video world model from human videos using continuous latent actions as proxy controls, then adapts it with robot data. Its generated rollouts support applications including policy evaluation and model-based planning.</x:v>
      </x:c>
      <x:c r="F160" s="81" t="str">
        <x:v>https://arxiv.org/abs/2602.06949</x:v>
      </x:c>
      <x:c r="G160" s="70" t="str">
        <x:v>Paper</x:v>
      </x:c>
      <x:c r="H160" s="80" t="str">
        <x:v>Pending</x:v>
      </x:c>
    </x:row>
    <x:row r="161" ht="62" customHeight="1">
      <x:c r="A161" s="79" t="n">
        <x:v>153</x:v>
      </x:c>
      <x:c r="B161" s="70" t="str">
        <x:v>dreamzero</x:v>
      </x:c>
      <x:c r="C161" s="79" t="n">
        <x:v>2026</x:v>
      </x:c>
      <x:c r="D161" s="70" t="str">
        <x:v>S. Ye, Y. Ge, K. Zheng, S. Gao, S. Yu, G. Kurian, S. Indupuru, Y. L. Tan, C. Zhu, J. Xiang et al., “World action models are zero-shot policies,” arXiv preprint arXiv:2602.15922, 2026. [Online]. Available:</x:v>
      </x:c>
      <x:c r="E161" s="70" t="str">
        <x:v>DreamZero jointly predicts future video and robot actions using a pretrained video-diffusion backbone. It uses this world-action representation for closed-loop control and studies transfer from heterogeneous robot data and video demonstrations.</x:v>
      </x:c>
      <x:c r="F161" s="81" t="str">
        <x:v>https://arxiv.org/abs/2602.15922</x:v>
      </x:c>
      <x:c r="G161" s="70" t="str">
        <x:v>Paper</x:v>
      </x:c>
      <x:c r="H161" s="80" t="str">
        <x:v>Pending</x:v>
      </x:c>
    </x:row>
    <x:row r="162" ht="62" customHeight="1">
      <x:c r="A162" s="79" t="n">
        <x:v>154</x:v>
      </x:c>
      <x:c r="B162" s="70" t="str">
        <x:v>harmowam</x:v>
      </x:c>
      <x:c r="C162" s="79" t="n">
        <x:v>2026</x:v>
      </x:c>
      <x:c r="D162" s="70" t="str">
        <x:v>Q. Feng, J. Yu, J. Liu, Y. Jia, Z. Wu, H. Chen, Z. Qian, S. Gu, P. Jia, S. Ma et al., “HarmoWAM: Harmonizing generalizable and precise manipulation via adaptive world action models,” arXiv preprint arXiv:2605.10942, 2026.</x:v>
      </x:c>
      <x:c r="E162" s="70" t="str">
        <x:v>HarmoWAM combines predictive and reactive action experts through adaptive gating. This architecture aims to balance generalization with precise manipulation control.</x:v>
      </x:c>
      <x:c r="F162" s="81" t="str">
        <x:v>https://arxiv.org/abs/2605.10942</x:v>
      </x:c>
      <x:c r="G162" s="70" t="str">
        <x:v>Paper</x:v>
      </x:c>
      <x:c r="H162" s="80" t="str">
        <x:v>Pending</x:v>
      </x:c>
    </x:row>
    <x:row r="163" ht="72" customHeight="1">
      <x:c r="A163" s="79" t="n">
        <x:v>155</x:v>
      </x:c>
      <x:c r="B163" s="70" t="str">
        <x:v>liu2023libero</x:v>
      </x:c>
      <x:c r="C163" s="79" t="n">
        <x:v>2023</x:v>
      </x:c>
      <x:c r="D163" s="70" t="str">
        <x:v>B. Liu, Y. Zhu, C. Gao, Y. Feng, Q. Liu, Y. Zhu, and P. Stone, “LIBERO: Benchmarking knowledge transfer for lifelong robot learning,” in Adv. Neural Inf. Process. Syst. (NeurIPS) Datasets and Benchmarks Track, 2023, arXiv:2306.03310.</x:v>
      </x:c>
      <x:c r="E163" s="70" t="str">
        <x:v>LIBERO provides simulated manipulation tasks and demonstrations for studying knowledge transfer in lifelong robot learning. Its task suites examine different transfer settings, policy designs, and effects of sequential learning.</x:v>
      </x:c>
      <x:c r="F163" s="81" t="str">
        <x:v>https://arxiv.org/abs/2306.03310</x:v>
      </x:c>
      <x:c r="G163" s="70" t="str">
        <x:v>Paper</x:v>
      </x:c>
      <x:c r="H163" s="80" t="str">
        <x:v>Pending</x:v>
      </x:c>
    </x:row>
    <x:row r="164" ht="72" customHeight="1">
      <x:c r="A164" s="79" t="n">
        <x:v>156</x:v>
      </x:c>
      <x:c r="B164" s="70" t="str">
        <x:v>calvin</x:v>
      </x:c>
      <x:c r="C164" s="79" t="n">
        <x:v>2022</x:v>
      </x:c>
      <x:c r="D164" s="70" t="str">
        <x:v>O. Mees, L. Hermann, E. Rosete-Beas, and W. Burgard, “CALVIN: A benchmark for language-conditioned policy learning for long-horizon robot manipulation tasks,” IEEE Robot. Autom. Lett., vol. 7, no. 3, pp. 7327–7334, 2022, arXiv:2112.03227.</x:v>
      </x:c>
      <x:c r="E164" s="70" t="str">
        <x:v>CALVIN evaluates language-conditioned policies on sequences of manipulation tasks in simulation. It emphasizes long-horizon execution and transfer to unfamiliar instructions, objects, and environments.</x:v>
      </x:c>
      <x:c r="F164" s="81" t="str">
        <x:v>https://arxiv.org/abs/2112.03227</x:v>
      </x:c>
      <x:c r="G164" s="70" t="str">
        <x:v>Paper</x:v>
      </x:c>
      <x:c r="H164" s="80" t="str">
        <x:v>Pending</x:v>
      </x:c>
    </x:row>
    <x:row r="165" ht="62" customHeight="1">
      <x:c r="A165" s="79" t="n">
        <x:v>157</x:v>
      </x:c>
      <x:c r="B165" s="70" t="str">
        <x:v>rlbench</x:v>
      </x:c>
      <x:c r="C165" s="79" t="n">
        <x:v>2020</x:v>
      </x:c>
      <x:c r="D165" s="70" t="str">
        <x:v>S. James, Z. Ma, D. R. Arrojo, and A. J. Davison, “RLBench: The robot learning benchmark &amp; learning environment,” IEEE Robot. Autom. Lett., vol. 5, no. 2, pp. 3019–3026, 2020.</x:v>
      </x:c>
      <x:c r="E165" s="70" t="str">
        <x:v>RLBench provides diverse simulated manipulation tasks, visual and proprioceptive observations, and motion-planned demonstrations. It supports research on imitation, reinforcement, multi-task, and few-shot robot learning.</x:v>
      </x:c>
      <x:c r="F165" s="81" t="str">
        <x:v>https://arxiv.org/abs/1909.12271</x:v>
      </x:c>
      <x:c r="G165" s="70" t="str">
        <x:v>Paper</x:v>
      </x:c>
      <x:c r="H165" s="80" t="str">
        <x:v>Pending</x:v>
      </x:c>
    </x:row>
    <x:row r="166" ht="72" customHeight="1">
      <x:c r="A166" s="79" t="n">
        <x:v>158</x:v>
      </x:c>
      <x:c r="B166" s="70" t="str">
        <x:v>maniskill3</x:v>
      </x:c>
      <x:c r="C166" s="79" t="n">
        <x:v>2024</x:v>
      </x:c>
      <x:c r="D166" s="70" t="str">
        <x:v>S. Tao, F. Xiang, A. Shukla, Y. Qin, X. Hinrichsen, X. Yuan, C. Bao, X. Lin, Y. Liu, T. kai Chan et al., “ManiSkill3: GPU parallelized robotics simulation and rendering for generalizable embodied AI,” arXiv preprint arXiv:2410.00425, 2024.</x:v>
      </x:c>
      <x:c r="E166" s="70" t="str">
        <x:v>ManiSkill3 provides GPU-parallelized robotics simulation and rendering for learning manipulation policies. It includes diverse environments, demonstration data, and training baselines to support scalable robot-learning experiments.</x:v>
      </x:c>
      <x:c r="F166" s="81" t="str">
        <x:v>https://arxiv.org/abs/2410.00425</x:v>
      </x:c>
      <x:c r="G166" s="70" t="str">
        <x:v>Paper</x:v>
      </x:c>
      <x:c r="H166" s="80" t="str">
        <x:v>Pending</x:v>
      </x:c>
    </x:row>
    <x:row r="167" ht="62" customHeight="1">
      <x:c r="A167" s="79" t="n">
        <x:v>159</x:v>
      </x:c>
      <x:c r="B167" s="70" t="str">
        <x:v>robocasa</x:v>
      </x:c>
      <x:c r="C167" s="79" t="n">
        <x:v>2024</x:v>
      </x:c>
      <x:c r="D167" s="70" t="str">
        <x:v>S. Nasiriany, A. Maddukuri, L. Zhang, A. Parikh, A. Lo, A. Joshi, A. Mandlekar, and Y. Zhu, “RoboCasa: Large-scale simulation of everyday tasks for generalist robots,” in Proc. Robot.: Sci. Syst. (RSS), 2024.</x:v>
      </x:c>
      <x:c r="E167" s="70" t="str">
        <x:v>RoboCasa provides diverse simulated everyday environments, with a focus on kitchen manipulation tasks. It combines task definitions, human demonstrations, and automated trajectory generation for training and evaluating generalist robots.</x:v>
      </x:c>
      <x:c r="F167" s="81" t="str">
        <x:v>https://arxiv.org/abs/2406.02523</x:v>
      </x:c>
      <x:c r="G167" s="70" t="str">
        <x:v>Paper</x:v>
      </x:c>
      <x:c r="H167" s="80" t="str">
        <x:v>Pending</x:v>
      </x:c>
    </x:row>
    <x:row r="168" ht="62" customHeight="1">
      <x:c r="A168" s="79" t="n">
        <x:v>160</x:v>
      </x:c>
      <x:c r="B168" s="70" t="str">
        <x:v>metaworld</x:v>
      </x:c>
      <x:c r="C168" s="79" t="n">
        <x:v>2019</x:v>
      </x:c>
      <x:c r="D168" s="70" t="str">
        <x:v>T. Yu, D. Quillen, Z. He, R. Julian, K. Hausman, C. Finn, and S. Levine, “Meta-world: A benchmark and evaluation for multi-task and meta reinforcement learning,” in Proc. Conf. Robot Learn. (CoRL), 2019.</x:v>
      </x:c>
      <x:c r="E168" s="70" t="str">
        <x:v>Meta-World provides a collection of simulated manipulation tasks for multi-task and meta-reinforcement learning. It enables evaluation of shared learning across tasks and adaptation to new task instances.</x:v>
      </x:c>
      <x:c r="F168" s="81" t="str">
        <x:v>https://arxiv.org/abs/1910.10897</x:v>
      </x:c>
      <x:c r="G168" s="70" t="str">
        <x:v>Paper</x:v>
      </x:c>
      <x:c r="H168" s="80" t="str">
        <x:v>Pending</x:v>
      </x:c>
    </x:row>
    <x:row r="169" ht="72" customHeight="1">
      <x:c r="A169" s="79" t="n">
        <x:v>161</x:v>
      </x:c>
      <x:c r="B169" s="70" t="str">
        <x:v>vlabench</x:v>
      </x:c>
      <x:c r="C169" s="79" t="n">
        <x:v>2024</x:v>
      </x:c>
      <x:c r="D169" s="70" t="str">
        <x:v>S. Zhang, Z. Xu, P. Liu, X. Yu, Y. Li, Q. Gao, Z. Fei, Z. Yin, Z. Wu, Y.-G. Jiang, and X. Qiu, “VLABench: A large-scale benchmark for language-conditioned robotics manipulation with long-horizon reasoning tasks,” arXiv preprint arXiv:2412.18194, 2024.</x:v>
      </x:c>
      <x:c r="E169" s="70" t="str">
        <x:v>VLABench evaluates language-conditioned manipulation with randomized tasks, implicit intentions, and multi-step reasoning requirements. It assesses action policies and language-based capabilities while providing data for downstream training.</x:v>
      </x:c>
      <x:c r="F169" s="81" t="str">
        <x:v>https://arxiv.org/abs/2412.18194</x:v>
      </x:c>
      <x:c r="G169" s="70" t="str">
        <x:v>Paper</x:v>
      </x:c>
      <x:c r="H169" s="80" t="str">
        <x:v>Pending</x:v>
      </x:c>
    </x:row>
    <x:row r="170" ht="62" customHeight="1">
      <x:c r="A170" s="79" t="n">
        <x:v>162</x:v>
      </x:c>
      <x:c r="B170" s="70" t="str">
        <x:v>colosseum</x:v>
      </x:c>
      <x:c r="C170" s="79" t="n">
        <x:v>2024</x:v>
      </x:c>
      <x:c r="D170" s="70" t="str">
        <x:v>W. Pumacay, I. Singh, J. Duan, R. Krishna, J. Thomason, and D. Fox, “THE COLOSSEUM: A benchmark for evaluating generalization for robotic manipulation,” in Robotics: Science and Systems (RSS), 2024, arXiv:2402.08191.</x:v>
      </x:c>
      <x:c r="E170" s="70" t="str">
        <x:v>THE COLOSSEUM evaluates manipulation-policy generalization through systematic changes to task and environment conditions. It tests robustness beyond performance in an unchanged benchmark setting.</x:v>
      </x:c>
      <x:c r="F170" s="81" t="str">
        <x:v>https://arxiv.org/abs/2402.08191</x:v>
      </x:c>
      <x:c r="G170" s="70" t="str">
        <x:v>Paper</x:v>
      </x:c>
      <x:c r="H170" s="80" t="str">
        <x:v>Pending</x:v>
      </x:c>
    </x:row>
    <x:row r="171" ht="62" customHeight="1">
      <x:c r="A171" s="79" t="n">
        <x:v>163</x:v>
      </x:c>
      <x:c r="B171" s="70" t="str">
        <x:v>furniturebench</x:v>
      </x:c>
      <x:c r="C171" s="79" t="n">
        <x:v>2023</x:v>
      </x:c>
      <x:c r="D171" s="70" t="str">
        <x:v>M. Heo, Y. Lee, D. Lee, and J. J. Lim, “FurnitureBench: Reproducible real-world benchmark for long-horizon complex manipulation,” in Robotics: Science and Systems (RSS), 2023, arXiv:2305.12821.</x:v>
      </x:c>
      <x:c r="E171" s="70" t="str">
        <x:v>FurnitureBench provides a reproducible physical benchmark for long-horizon furniture assembly. It includes demonstration data, standardized setup resources, and a corresponding simulator for studying manipulation learning.</x:v>
      </x:c>
      <x:c r="F171" s="81" t="str">
        <x:v>https://arxiv.org/abs/2305.12821</x:v>
      </x:c>
      <x:c r="G171" s="70" t="str">
        <x:v>Paper</x:v>
      </x:c>
      <x:c r="H171" s="80" t="str">
        <x:v>Pending</x:v>
      </x:c>
    </x:row>
    <x:row r="172" ht="72" customHeight="1">
      <x:c r="A172" s="79" t="n">
        <x:v>164</x:v>
      </x:c>
      <x:c r="B172" s="70" t="str">
        <x:v>behavior1k</x:v>
      </x:c>
      <x:c r="C172" s="79" t="n">
        <x:v>2024</x:v>
      </x:c>
      <x:c r="D172" s="70" t="str">
        <x:v>C. Li, R. Zhang, J. Wong, C. Gokmen, S. Srivastava, R. Martín-Martín, C. Wang, G. Levine et al., “BEHAVIOR-1K: A human-centered, embodied AI benchmark with 1,000 everyday activities and realistic simulation,” arXiv preprint arXiv:2403.09227, 2024.</x:v>
      </x:c>
      <x:c r="E172" s="70" t="str">
        <x:v>BEHAVIOR-1K defines everyday household activities and supports them through the OmniGibson simulation environment. Its evaluation emphasizes long-horizon behavior and complex interaction with diverse objects and physical materials.</x:v>
      </x:c>
      <x:c r="F172" s="81" t="str">
        <x:v>https://arxiv.org/abs/2403.09227</x:v>
      </x:c>
      <x:c r="G172" s="70" t="str">
        <x:v>Paper</x:v>
      </x:c>
      <x:c r="H172" s="80" t="str">
        <x:v>Pending</x:v>
      </x:c>
    </x:row>
    <x:row r="173" ht="72" customHeight="1">
      <x:c r="A173" s="79" t="n">
        <x:v>165</x:v>
      </x:c>
      <x:c r="B173" s="70" t="str">
        <x:v>roboarena</x:v>
      </x:c>
      <x:c r="C173" s="79" t="n">
        <x:v>2025</x:v>
      </x:c>
      <x:c r="D173" s="70" t="str">
        <x:v>P. Atreya, K. Pertsch, T. Lee, M. J. Kim, A. Jain, A. Kuramshin, C. Eppner, C. Neary, E. Hu, F. Ramos et al., “RoboArena: Distributed real-world evaluation of generalist robot policies,” in Conference on Robot Learning (CoRL), PMLR vol. 305, 2025, arXiv:2506.18123.</x:v>
      </x:c>
      <x:c r="E173" s="70" t="str">
        <x:v>RoboArena distributes real-robot evaluation across multiple evaluators, who compare pairs of policies under shared local conditions. Aggregated preference feedback supports policy comparison across varied tasks and environments.</x:v>
      </x:c>
      <x:c r="F173" s="81" t="str">
        <x:v>https://arxiv.org/abs/2506.18123</x:v>
      </x:c>
      <x:c r="G173" s="70" t="str">
        <x:v>Paper</x:v>
      </x:c>
      <x:c r="H173" s="80" t="str">
        <x:v>Pending</x:v>
      </x:c>
    </x:row>
    <x:row r="174" ht="62" customHeight="1">
      <x:c r="A174" s="79" t="n">
        <x:v>166</x:v>
      </x:c>
      <x:c r="B174" s="70" t="str">
        <x:v>bridgedata</x:v>
      </x:c>
      <x:c r="C174" s="79" t="n">
        <x:v>2023</x:v>
      </x:c>
      <x:c r="D174" s="70" t="str">
        <x:v>H. Walke, K. Black, A. Lee, M. J. Kim, M. Du, C. Zheng, T. Zhao, P. Hansen-Estruch, Q. Vuong, A. He et al., “BridgeData V2: A dataset for robot learning at scale,” in Proc. Conf. Robot Learn. (CoRL), 2023.</x:v>
      </x:c>
      <x:c r="E174" s="70" t="str">
        <x:v>BridgeData V2 provides diverse real-robot manipulation trajectories for scalable robot learning. It supports studying how training across tasks and environments affects policy generalization.</x:v>
      </x:c>
      <x:c r="F174" s="81" t="str">
        <x:v>https://arxiv.org/abs/2308.12952</x:v>
      </x:c>
      <x:c r="G174" s="70" t="str">
        <x:v>Paper</x:v>
      </x:c>
      <x:c r="H174" s="80" t="str">
        <x:v>Pending</x:v>
      </x:c>
    </x:row>
    <x:row r="175" ht="62" customHeight="1">
      <x:c r="A175" s="79" t="n">
        <x:v>167</x:v>
      </x:c>
      <x:c r="B175" s="70" t="str">
        <x:v>agibotworld</x:v>
      </x:c>
      <x:c r="C175" s="79" t="n">
        <x:v>2025</x:v>
      </x:c>
      <x:c r="D175" s="70" t="str">
        <x:v>AgiBot-World Contributors, “AgiBot World Colosseo: A large-scale manipulation platform for scalable and intelligent embodied systems,” arXiv preprint arXiv:2503.06669, 2025.</x:v>
      </x:c>
      <x:c r="E175" s="70" t="str">
        <x:v>AgiBot World combines a standardized robot-data collection platform with diverse manipulation trajectories. Its accompanying policy experiments study how data scale and coverage affect generalist robot learning.</x:v>
      </x:c>
      <x:c r="F175" s="81" t="str">
        <x:v>https://arxiv.org/abs/2503.06669</x:v>
      </x:c>
      <x:c r="G175" s="70" t="str">
        <x:v>Paper</x:v>
      </x:c>
      <x:c r="H175" s="80" t="str">
        <x:v>Pending</x:v>
      </x:c>
    </x:row>
    <x:row r="176" ht="72" customHeight="1">
      <x:c r="A176" s="79" t="n">
        <x:v>168</x:v>
      </x:c>
      <x:c r="B176" s="70" t="str">
        <x:v>rh20t</x:v>
      </x:c>
      <x:c r="C176" s="79" t="n">
        <x:v>2024</x:v>
      </x:c>
      <x:c r="D176" s="70" t="str">
        <x:v>H.-S. Fang, H. Fang, Z. Tang, J. Liu, C. Wang, J. Wang, H. Zhu, and C. Lu, “RH20T: A comprehensive robotic dataset for learning diverse skills in one-shot,” in IEEE International Conference on Robotics and Automation (ICRA), 2024, arXiv:2307.00595.</x:v>
      </x:c>
      <x:c r="E176" s="70" t="str">
        <x:v>RH20T records contact-rich real-world manipulation with visual, force, audio, and action information. Corresponding human demonstration videos and language descriptions support research on learning varied skills from demonstrations.</x:v>
      </x:c>
      <x:c r="F176" s="81" t="str">
        <x:v>https://arxiv.org/abs/2307.00595</x:v>
      </x:c>
      <x:c r="G176" s="70" t="str">
        <x:v>Paper</x:v>
      </x:c>
      <x:c r="H176" s="80" t="str">
        <x:v>Pending</x:v>
      </x:c>
    </x:row>
    <x:row r="177" ht="62" customHeight="1">
      <x:c r="A177" s="79" t="n">
        <x:v>169</x:v>
      </x:c>
      <x:c r="B177" s="70" t="str">
        <x:v>robomind</x:v>
      </x:c>
      <x:c r="C177" s="79" t="n">
        <x:v>2024</x:v>
      </x:c>
      <x:c r="D177" s="70" t="str">
        <x:v>K. Wu, C. Hou, J. Liu, Z. Che, X. Ju, Z. Yang, M. Li, Y. Zhao et al., “RoboMIND: Benchmark on multi-embodiment intelligence normative data for robot manipulation,” arXiv preprint arXiv:2412.13877, 2024.</x:v>
      </x:c>
      <x:c r="E177" s="70" t="str">
        <x:v>RoboMIND collects teleoperated manipulation demonstrations across robot embodiments under a standardized protocol. It includes multimodal observations, task descriptions, failure demonstrations, and digital-twin support for training and evaluation.</x:v>
      </x:c>
      <x:c r="F177" s="81" t="str">
        <x:v>https://arxiv.org/abs/2412.13877</x:v>
      </x:c>
      <x:c r="G177" s="70" t="str">
        <x:v>Paper</x:v>
      </x:c>
      <x:c r="H177" s="80" t="str">
        <x:v>Pending</x:v>
      </x:c>
    </x:row>
    <x:row r="178" ht="87" customHeight="1">
      <x:c r="A178" s="79" t="n">
        <x:v>170</x:v>
      </x:c>
      <x:c r="B178" s="70" t="str">
        <x:v>worldarena</x:v>
      </x:c>
      <x:c r="C178" s="79" t="n">
        <x:v>2026</x:v>
      </x:c>
      <x:c r="D178" s="70" t="str">
        <x:v>Y. Shang, Z. Li, Y. Ma, W. Su, X. Jin, Z. Wang, L. Jin, X. Zhang, Y. Tang, H. Su, C. Gao, W. Wu, X. Liu, D. Shah, Z. Zhang, Z. Chen, J. Zhu, Y. Tian, T.-S. Chua, W. Zhu, and Y. Li, “WorldArena: A unified benchmark for evaluating perception and functional utility of embodied world models,” arXiv preprint arXiv:2602.08971, 2026.</x:v>
      </x:c>
      <x:c r="E178" s="70" t="str">
        <x:v>WorldArena evaluates both perceptual quality and functional uses of embodied world models. Its tests cover data generation, policy evaluation, and action planning, exposing differences between visual fidelity and task usefulness.</x:v>
      </x:c>
      <x:c r="F178" s="81" t="str">
        <x:v>https://arxiv.org/abs/2602.08971</x:v>
      </x:c>
      <x:c r="G178" s="70" t="str">
        <x:v>Paper</x:v>
      </x:c>
      <x:c r="H178" s="80" t="str">
        <x:v>Pending</x:v>
      </x:c>
    </x:row>
    <x:row r="179" ht="87" customHeight="1">
      <x:c r="A179" s="79" t="n">
        <x:v>171</x:v>
      </x:c>
      <x:c r="B179" s="70" t="str">
        <x:v>shang2026worldarena2</x:v>
      </x:c>
      <x:c r="C179" s="79" t="n">
        <x:v>2026</x:v>
      </x:c>
      <x:c r="D179" s="70" t="str">
        <x:v>Y. Shang, Y. Tang, Y. Ma, Z. Li, L. Jin, W. Su, X. Jin, Z. Wang, Z. Wang, X. Zhang, H. Su, W. He, W. Wu, H. Duan, G. Wetzstein, X. Liu, D. Shah, Z. Zhang, Z. Chen, J. Zhu, Y. Tian, T.-S. Chua, W. Zhu, C. Gao, and Y. Li, “WorldArena 2.0: Extending embodied world model benchmarking on modality, functionality and platform,” arXiv preprint arXiv:2605.17912, 2026.</x:v>
      </x:c>
      <x:c r="E179" s="70" t="str">
        <x:v>WorldArena 2.0 extends world-model evaluation to visuotactile observations, interactive reinforcement-learning environments, and multiple robotic platforms. It assesses prediction and interactive utility across simulated and real-world settings.</x:v>
      </x:c>
      <x:c r="F179" s="81" t="str">
        <x:v>https://arxiv.org/abs/2605.17912</x:v>
      </x:c>
      <x:c r="G179" s="70" t="str">
        <x:v>Paper</x:v>
      </x:c>
      <x:c r="H179" s="80" t="str">
        <x:v>Pending</x:v>
      </x:c>
    </x:row>
    <x:row r="180" ht="72" customHeight="1">
      <x:c r="A180" s="79" t="n">
        <x:v>172</x:v>
      </x:c>
      <x:c r="B180" s="70" t="str">
        <x:v>maniparena</x:v>
      </x:c>
      <x:c r="C180" s="79" t="n">
        <x:v>2026</x:v>
      </x:c>
      <x:c r="D180" s="70" t="str">
        <x:v>Y. Sun, M. Cao, P. Yang, R. Xu, Y. Yan, R. Xu, L. Ma, R. Gan, A. Zhai, Q. Chen, Z. Xu, H. Wang, J. Yu, L. Liang, Q. Wang, I. Laptev, I. D. Reid, and X. Liang, “ManipArena: Comprehensive real-world evaluation of reasoning-oriented generalist robot manipulation,” arXiv preprint arXiv:2603.28545, 2026.</x:v>
      </x:c>
      <x:c r="E180" s="70" t="str">
        <x:v>ManipArena provides standardized physical manipulation evaluation with structured task variation and paired real-to-simulation environments. It compares generalist policy configurations while tracking generalization and subtask-level performance.</x:v>
      </x:c>
      <x:c r="F180" s="81" t="str">
        <x:v>https://arxiv.org/abs/2603.28545</x:v>
      </x:c>
      <x:c r="G180" s="70" t="str">
        <x:v>Paper</x:v>
      </x:c>
      <x:c r="H180" s="80" t="str">
        <x:v>Pending</x:v>
      </x:c>
    </x:row>
    <x:row r="181" ht="62" customHeight="1">
      <x:c r="A181" s="79" t="n">
        <x:v>173</x:v>
      </x:c>
      <x:c r="B181" s="70" t="str">
        <x:v>memoryvla</x:v>
      </x:c>
      <x:c r="C181" s="79" t="n">
        <x:v>2025</x:v>
      </x:c>
      <x:c r="D181" s="70" t="str">
        <x:v>Shi et al., “MemoryVLA: Perceptual-cognitive memory in vision-language-action models for robotic manipulation,” arXiv preprint arXiv:2508.19236, 2025.</x:v>
      </x:c>
      <x:c r="E181" s="70" t="str">
        <x:v>MemoryVLA combines perceptual and semantic memory retrieval with a memory-conditioned diffusion action expert. It supplies temporal context for manipulation decisions that cannot be resolved reliably from the current observation alone.</x:v>
      </x:c>
      <x:c r="F181" s="81" t="str">
        <x:v>https://arxiv.org/abs/2508.19236</x:v>
      </x:c>
      <x:c r="G181" s="70" t="str">
        <x:v>Paper</x:v>
      </x:c>
      <x:c r="H181" s="80" t="str">
        <x:v>Pending</x:v>
      </x:c>
    </x:row>
    <x:row r="182" ht="62" customHeight="1">
      <x:c r="A182" s="79" t="n">
        <x:v>174</x:v>
      </x:c>
      <x:c r="B182" s="70" t="str">
        <x:v>forcevla</x:v>
      </x:c>
      <x:c r="C182" s="79" t="n">
        <x:v>2025</x:v>
      </x:c>
      <x:c r="D182" s="70" t="str">
        <x:v>Yu et al., “ForceVLA: Enhancing VLA models with a force-aware MoE for contact-rich manipulation,” arXiv preprint arXiv:2505.22159, 2025.</x:v>
      </x:c>
      <x:c r="E182" s="70" t="str">
        <x:v>ForceVLA integrates force-torque feedback with vision-language features through a force-aware mixture-of-experts module. It targets contact-rich manipulation where visual information alone may be insufficient.</x:v>
      </x:c>
      <x:c r="F182" s="81" t="str">
        <x:v>https://arxiv.org/abs/2505.22159</x:v>
      </x:c>
      <x:c r="G182" s="70" t="str">
        <x:v>Paper</x:v>
      </x:c>
      <x:c r="H182" s="80" t="str">
        <x:v>Pending</x:v>
      </x:c>
    </x:row>
    <x:row r="183" ht="62" customHeight="1">
      <x:c r="A183" s="79" t="n">
        <x:v>175</x:v>
      </x:c>
      <x:c r="B183" s="70" t="str">
        <x:v>tactilevla</x:v>
      </x:c>
      <x:c r="C183" s="79" t="n">
        <x:v>2025</x:v>
      </x:c>
      <x:c r="D183" s="70" t="str">
        <x:v>Huang et al., “Tactile-VLA: Unlocking vision-language-action model's physical knowledge for tactile generalization,” arXiv preprint arXiv:2507.09160, 2025.</x:v>
      </x:c>
      <x:c r="E183" s="70" t="str">
        <x:v>Tactile-VLA combines tactile feedback and multimodal reasoning with a hybrid position-force controller. It connects contact sensing to robot action selection for physical interaction.</x:v>
      </x:c>
      <x:c r="F183" s="81" t="str">
        <x:v>https://arxiv.org/abs/2507.09160</x:v>
      </x:c>
      <x:c r="G183" s="70" t="str">
        <x:v>Paper</x:v>
      </x:c>
      <x:c r="H183" s="80" t="str">
        <x:v>Pending</x:v>
      </x:c>
    </x:row>
    <x:row r="184" ht="62" customHeight="1">
      <x:c r="A184" s="79" t="n">
        <x:v>176</x:v>
      </x:c>
      <x:c r="B184" s="70" t="str">
        <x:v>modelcollapse</x:v>
      </x:c>
      <x:c r="C184" s="79" t="n">
        <x:v>2024</x:v>
      </x:c>
      <x:c r="D184" s="70" t="str">
        <x:v>I. Shumailov, Z. Shumaylov, Y. Zhao, N. Papernot, R. Anderson, and Y. Gal, “AI models collapse when trained on recursively generated data,” Nature, vol. 631, pp. 755–759, 2024.</x:v>
      </x:c>
      <x:c r="E184" s="70" t="str">
        <x:v>This study examines degradation when generative models are repeatedly trained on outputs from previous model generations. Its analysis motivates care in the recursive use of synthetic training data, including preservation of the original data distribution.</x:v>
      </x:c>
      <x:c r="F184" s="81" t="str">
        <x:v>https://www.nature.com/articles/s41586-024-07566-y</x:v>
      </x:c>
      <x:c r="G184" s="70" t="str">
        <x:v>Paper</x:v>
      </x:c>
      <x:c r="H184" s="80" t="str">
        <x:v>Pending</x:v>
      </x:c>
    </x:row>
    <x:row r="185" ht="62" customHeight="1">
      <x:c r="A185" s="79" t="n">
        <x:v>177</x:v>
      </x:c>
      <x:c r="B185" s="70" t="str">
        <x:v>vlaharness</x:v>
      </x:c>
      <x:c r="C185" s="79" t="n">
        <x:v>2026</x:v>
      </x:c>
      <x:c r="D185" s="70" t="str">
        <x:v>Allen Institute for AI, “VLA evaluation harness,” Open-source software, v0.4.0, 2026.</x:v>
      </x:c>
      <x:c r="E185" s="70" t="str">
        <x:v>The VLA Evaluation Harness provides a common framework for running robot-policy evaluations across simulation benchmarks. Its versioned implementation separates model servers from benchmark clients and records reproducible evaluation configurations.</x:v>
      </x:c>
      <x:c r="F185" s="81" t="str">
        <x:v>https://github.com/allenai/vla-evaluation-harness/tree/v0.4.0</x:v>
      </x:c>
      <x:c r="G185" s="70" t="str">
        <x:v>Technical release / software</x:v>
      </x:c>
      <x:c r="H185" s="80" t="str">
        <x:v>Pending</x:v>
      </x:c>
    </x:row>
    <x:row r="186" ht="87" customHeight="1">
      <x:c r="A186" s="79" t="n">
        <x:v>178</x:v>
      </x:c>
      <x:c r="B186" s="70" t="str">
        <x:v>cadene2026lerobot</x:v>
      </x:c>
      <x:c r="C186" s="79" t="n">
        <x:v>2026</x:v>
      </x:c>
      <x:c r="D186" s="70" t="str">
        <x:v>R. Cadene, S. Aliberts, F. Capuano, M. Aractingi, A. Zouitine, P. Kooijmans, J. Choghari, M. Russi, C. Pascal, S. Palma, M. Shukor, J. Moss, A. Soare, D. Aubakirova, Q. Lhoest, Q. Gallouédec, and T. Wolf, “LeRobot: An open-source library for end-to-end robot learning,” arXiv preprint arXiv:2602.22818, 2026.</x:v>
      </x:c>
      <x:c r="E186" s="70" t="str">
        <x:v>LeRobot integrates hardware communication, data collection and storage, policy training, and inference within an open robot-learning library. It supports accessible real-world hardware and extensible implementations of learning-based control methods.</x:v>
      </x:c>
      <x:c r="F186" s="81" t="str">
        <x:v>https://arxiv.org/abs/2602.22818</x:v>
      </x:c>
      <x:c r="G186" s="70" t="str">
        <x:v>Paper</x:v>
      </x:c>
      <x:c r="H186" s="80" t="str">
        <x:v>Pending</x:v>
      </x:c>
    </x:row>
    <x:row r="187" ht="72" customHeight="1">
      <x:c r="A187" s="79" t="n">
        <x:v>179</x:v>
      </x:c>
      <x:c r="B187" s="70" t="str">
        <x:v>ego4d</x:v>
      </x:c>
      <x:c r="C187" s="79" t="n">
        <x:v>2022</x:v>
      </x:c>
      <x:c r="D187" s="70" t="str">
        <x:v>K. Grauman, A. Westbury, E. Byrne, Z. Chavis, A. Furnari, R. Girdhar, J. Hamburger et al., “Ego4D: Around the world in 3,000 hours of egocentric video,” in IEEE/CVF Conference on Computer Vision and Pattern Recognition (CVPR), 2022.</x:v>
      </x:c>
      <x:c r="E187" s="70" t="str">
        <x:v>Ego4D collects diverse first-person human video and defines benchmarks for egocentric perception. It provides visual experience relevant to representation learning, distinct from demonstrations labelled with robot-control actions.</x:v>
      </x:c>
      <x:c r="F187" s="81" t="str">
        <x:v>https://arxiv.org/abs/2110.07058</x:v>
      </x:c>
      <x:c r="G187" s="70" t="str">
        <x:v>Paper</x:v>
      </x:c>
      <x:c r="H187" s="80" t="str">
        <x:v>Pending</x:v>
      </x:c>
    </x:row>
  </x:sheetData>
  <x:dataValidations count="1">
    <x:dataValidation type="list" sqref="H9:H187">
      <x:formula1>"Pending,Include,Background,Exclude,Duplicate"</x:formula1>
    </x:dataValidation>
  </x:dataValidations>
  <x:hyperlinks>
    <x:hyperlink ref="F9" r:id="currentSource9"/>
    <x:hyperlink ref="F10" r:id="currentSource10"/>
    <x:hyperlink ref="F11" r:id="currentSource11"/>
    <x:hyperlink ref="F12" r:id="currentSource12"/>
    <x:hyperlink ref="F13" r:id="currentSource13"/>
    <x:hyperlink ref="F14" r:id="currentSource14"/>
    <x:hyperlink ref="F15" r:id="currentSource15"/>
    <x:hyperlink ref="F16" r:id="currentSource16"/>
    <x:hyperlink ref="F17" r:id="currentSource17"/>
    <x:hyperlink ref="F18" r:id="currentSource18"/>
    <x:hyperlink ref="F19" r:id="currentSource19"/>
    <x:hyperlink ref="F20" r:id="currentSource20"/>
    <x:hyperlink ref="F21" r:id="currentSource21"/>
    <x:hyperlink ref="F22" r:id="currentSource22"/>
    <x:hyperlink ref="F23" r:id="currentSource23"/>
    <x:hyperlink ref="F24" r:id="currentSource24"/>
    <x:hyperlink ref="F25" r:id="currentSource25"/>
    <x:hyperlink ref="F26" r:id="currentSource26"/>
    <x:hyperlink ref="F27" r:id="currentSource27"/>
    <x:hyperlink ref="F28" r:id="currentSource28"/>
    <x:hyperlink ref="F29" r:id="currentSource29"/>
    <x:hyperlink ref="F30" r:id="currentSource30"/>
    <x:hyperlink ref="F31" r:id="currentSource31"/>
    <x:hyperlink ref="F32" r:id="currentSource32"/>
    <x:hyperlink ref="F33" r:id="currentSource33"/>
    <x:hyperlink ref="F34" r:id="currentSource34"/>
    <x:hyperlink ref="F35" r:id="currentSource35"/>
    <x:hyperlink ref="F36" r:id="currentSource36"/>
    <x:hyperlink ref="F37" r:id="currentSource37"/>
    <x:hyperlink ref="F38" r:id="currentSource38"/>
    <x:hyperlink ref="F39" r:id="currentSource39"/>
    <x:hyperlink ref="F40" r:id="currentSource40"/>
    <x:hyperlink ref="F41" r:id="currentSource41"/>
    <x:hyperlink ref="F42" r:id="currentSource42"/>
    <x:hyperlink ref="F43" r:id="currentSource43"/>
    <x:hyperlink ref="F44" r:id="currentSource44"/>
    <x:hyperlink ref="F45" r:id="currentSource45"/>
    <x:hyperlink ref="F46" r:id="currentSource46"/>
    <x:hyperlink ref="F47" r:id="currentSource47"/>
    <x:hyperlink ref="F48" r:id="currentSource48"/>
    <x:hyperlink ref="F49" r:id="currentSource49"/>
    <x:hyperlink ref="F50" r:id="currentSource50"/>
    <x:hyperlink ref="F51" r:id="currentSource51"/>
    <x:hyperlink ref="F52" r:id="currentSource52"/>
    <x:hyperlink ref="F53" r:id="currentSource53"/>
    <x:hyperlink ref="F54" r:id="currentSource54"/>
    <x:hyperlink ref="F55" r:id="currentSource55"/>
    <x:hyperlink ref="F56" r:id="currentSource56"/>
    <x:hyperlink ref="F57" r:id="currentSource57"/>
    <x:hyperlink ref="F58" r:id="currentSource58"/>
    <x:hyperlink ref="F59" r:id="currentSource59"/>
    <x:hyperlink ref="F60" r:id="currentSource60"/>
    <x:hyperlink ref="F61" r:id="currentSource61"/>
    <x:hyperlink ref="F62" r:id="currentSource62"/>
    <x:hyperlink ref="F63" r:id="currentSource63"/>
    <x:hyperlink ref="F64" r:id="currentSource64"/>
    <x:hyperlink ref="F65" r:id="currentSource65"/>
    <x:hyperlink ref="F66" r:id="currentSource66"/>
    <x:hyperlink ref="F67" r:id="currentSource67"/>
    <x:hyperlink ref="F68" r:id="currentSource68"/>
    <x:hyperlink ref="F69" r:id="currentSource69"/>
    <x:hyperlink ref="F70" r:id="currentSource70"/>
    <x:hyperlink ref="F71" r:id="currentSource71"/>
    <x:hyperlink ref="F72" r:id="currentSource72"/>
    <x:hyperlink ref="F73" r:id="currentSource73"/>
    <x:hyperlink ref="F74" r:id="currentSource74"/>
    <x:hyperlink ref="F75" r:id="currentSource75"/>
    <x:hyperlink ref="F76" r:id="currentSource76"/>
    <x:hyperlink ref="F77" r:id="currentSource77"/>
    <x:hyperlink ref="F78" r:id="currentSource78"/>
    <x:hyperlink ref="F79" r:id="currentSource79"/>
    <x:hyperlink ref="F80" r:id="currentSource80"/>
    <x:hyperlink ref="F81" r:id="currentSource81"/>
    <x:hyperlink ref="F82" r:id="currentSource82"/>
    <x:hyperlink ref="F83" r:id="currentSource83"/>
    <x:hyperlink ref="F84" r:id="currentSource84"/>
    <x:hyperlink ref="F85" r:id="currentSource85"/>
    <x:hyperlink ref="F86" r:id="currentSource86"/>
    <x:hyperlink ref="F87" r:id="currentSource87"/>
    <x:hyperlink ref="F88" r:id="currentSource88"/>
    <x:hyperlink ref="F89" r:id="currentSource89"/>
    <x:hyperlink ref="F90" r:id="currentSource90"/>
    <x:hyperlink ref="F91" r:id="currentSource91"/>
    <x:hyperlink ref="F92" r:id="currentSource92"/>
    <x:hyperlink ref="F93" r:id="currentSource93"/>
    <x:hyperlink ref="F94" r:id="currentSource94"/>
    <x:hyperlink ref="F95" r:id="currentSource95"/>
    <x:hyperlink ref="F96" r:id="currentSource96"/>
    <x:hyperlink ref="F97" r:id="currentSource97"/>
    <x:hyperlink ref="F98" r:id="currentSource98"/>
    <x:hyperlink ref="F99" r:id="currentSource99"/>
    <x:hyperlink ref="F100" r:id="currentSource100"/>
    <x:hyperlink ref="F101" r:id="currentSource101"/>
    <x:hyperlink ref="F102" r:id="currentSource102"/>
    <x:hyperlink ref="F103" r:id="currentSource103"/>
    <x:hyperlink ref="F104" r:id="currentSource104"/>
    <x:hyperlink ref="F105" r:id="currentSource105"/>
    <x:hyperlink ref="F106" r:id="currentSource106"/>
    <x:hyperlink ref="F107" r:id="currentSource107"/>
    <x:hyperlink ref="F108" r:id="currentSource108"/>
    <x:hyperlink ref="F109" r:id="currentSource109"/>
    <x:hyperlink ref="F110" r:id="currentSource110"/>
    <x:hyperlink ref="F111" r:id="currentSource111"/>
    <x:hyperlink ref="F112" r:id="currentSource112"/>
    <x:hyperlink ref="F113" r:id="currentSource113"/>
    <x:hyperlink ref="F114" r:id="currentSource114"/>
    <x:hyperlink ref="F115" r:id="currentSource115"/>
    <x:hyperlink ref="F116" r:id="currentSource116"/>
    <x:hyperlink ref="F117" r:id="currentSource117"/>
    <x:hyperlink ref="F118" r:id="currentSource118"/>
    <x:hyperlink ref="F119" r:id="currentSource119"/>
    <x:hyperlink ref="F120" r:id="currentSource120"/>
    <x:hyperlink ref="F121" r:id="currentSource121"/>
    <x:hyperlink ref="F122" r:id="currentSource122"/>
    <x:hyperlink ref="F123" r:id="currentSource123"/>
    <x:hyperlink ref="F124" r:id="currentSource124"/>
    <x:hyperlink ref="F125" r:id="currentSource125"/>
    <x:hyperlink ref="F126" r:id="currentSource126"/>
    <x:hyperlink ref="F127" r:id="currentSource127"/>
    <x:hyperlink ref="F128" r:id="currentSource128"/>
    <x:hyperlink ref="F129" r:id="currentSource129"/>
    <x:hyperlink ref="F130" r:id="currentSource130"/>
    <x:hyperlink ref="F131" r:id="currentSource131"/>
    <x:hyperlink ref="F132" r:id="currentSource132"/>
    <x:hyperlink ref="F133" r:id="currentSource133"/>
    <x:hyperlink ref="F134" r:id="currentSource134"/>
    <x:hyperlink ref="F135" r:id="currentSource135"/>
    <x:hyperlink ref="F136" r:id="currentSource136"/>
    <x:hyperlink ref="F137" r:id="currentSource137"/>
    <x:hyperlink ref="F138" r:id="currentSource138"/>
    <x:hyperlink ref="F139" r:id="currentSource139"/>
    <x:hyperlink ref="F140" r:id="currentSource140"/>
    <x:hyperlink ref="F141" r:id="currentSource141"/>
    <x:hyperlink ref="F142" r:id="currentSource142"/>
    <x:hyperlink ref="F143" r:id="currentSource143"/>
    <x:hyperlink ref="F144" r:id="currentSource144"/>
    <x:hyperlink ref="F145" r:id="currentSource145"/>
    <x:hyperlink ref="F146" r:id="currentSource146"/>
    <x:hyperlink ref="F147" r:id="currentSource147"/>
    <x:hyperlink ref="F148" r:id="currentSource148"/>
    <x:hyperlink ref="F149" r:id="currentSource149"/>
    <x:hyperlink ref="F150" r:id="currentSource150"/>
    <x:hyperlink ref="F151" r:id="currentSource151"/>
    <x:hyperlink ref="F152" r:id="currentSource152"/>
    <x:hyperlink ref="F153" r:id="currentSource153"/>
    <x:hyperlink ref="F154" r:id="currentSource154"/>
    <x:hyperlink ref="F155" r:id="currentSource155"/>
    <x:hyperlink ref="F156" r:id="currentSource156"/>
    <x:hyperlink ref="F157" r:id="currentSource157"/>
    <x:hyperlink ref="F158" r:id="currentSource158"/>
    <x:hyperlink ref="F159" r:id="currentSource159"/>
    <x:hyperlink ref="F160" r:id="currentSource160"/>
    <x:hyperlink ref="F161" r:id="currentSource161"/>
    <x:hyperlink ref="F162" r:id="currentSource162"/>
    <x:hyperlink ref="F163" r:id="currentSource163"/>
    <x:hyperlink ref="F164" r:id="currentSource164"/>
    <x:hyperlink ref="F165" r:id="currentSource165"/>
    <x:hyperlink ref="F166" r:id="currentSource166"/>
    <x:hyperlink ref="F167" r:id="currentSource167"/>
    <x:hyperlink ref="F168" r:id="currentSource168"/>
    <x:hyperlink ref="F169" r:id="currentSource169"/>
    <x:hyperlink ref="F170" r:id="currentSource170"/>
    <x:hyperlink ref="F171" r:id="currentSource171"/>
    <x:hyperlink ref="F172" r:id="currentSource172"/>
    <x:hyperlink ref="F173" r:id="currentSource173"/>
    <x:hyperlink ref="F174" r:id="currentSource174"/>
    <x:hyperlink ref="F175" r:id="currentSource175"/>
    <x:hyperlink ref="F176" r:id="currentSource176"/>
    <x:hyperlink ref="F177" r:id="currentSource177"/>
    <x:hyperlink ref="F178" r:id="currentSource178"/>
    <x:hyperlink ref="F179" r:id="currentSource179"/>
    <x:hyperlink ref="F180" r:id="currentSource180"/>
    <x:hyperlink ref="F181" r:id="currentSource181"/>
    <x:hyperlink ref="F182" r:id="currentSource182"/>
    <x:hyperlink ref="F183" r:id="currentSource183"/>
    <x:hyperlink ref="F184" r:id="currentSource184"/>
    <x:hyperlink ref="F185" r:id="currentSource185"/>
    <x:hyperlink ref="F186" r:id="currentSource186"/>
    <x:hyperlink ref="F187" r:id="currentSource187"/>
  </x:hyperlinks>
  <x:pageMargins left="0.7" right="0.7" top="0.75" bottom="0.75" header="0.3" footer="0.3"/>
  <x:tableParts count="1">
    <x:tablePart r:id="tableCurrentReferences"/>
  </x:tableParts>
</x:worksheet>
</file>