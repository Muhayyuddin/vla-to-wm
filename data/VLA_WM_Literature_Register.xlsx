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01b0a1224447ea" /></Relationships>
</file>

<file path=xl/workbook.xml><?xml version="1.0" encoding="utf-8"?>
<x:workbook xmlns:r="http://schemas.openxmlformats.org/officeDocument/2006/relationships" xmlns:x="http://schemas.openxmlformats.org/spreadsheetml/2006/main">
  <x:sheets>
    <x:sheet name="Corpus Summary" sheetId="13" r:id="LiteratureUpdate13"/>
    <x:sheet name="Literature Register" sheetId="14" r:id="LiteratureUpdate14"/>
    <x:sheet name="Table Coverage" sheetId="15" r:id="LiteratureUpdate15"/>
    <x:sheet name="Search Notes" sheetId="16" r:id="LiteratureUpdate16"/>
    <x:sheet name="README" sheetId="1" r:id="R1eb1dff7572c437b"/>
    <x:sheet name="Audit Summary" sheetId="2" r:id="R7961befae82b4ae0"/>
    <x:sheet name="Verified Data Scale" sheetId="3" r:id="R309b9d4a3f2345f2"/>
    <x:sheet name="World-Gymnast" sheetId="4" r:id="Rf46416035e2343f9"/>
    <x:sheet name="Verified Sources" sheetId="5" r:id="R653fcc015f7a4c0b"/>
    <x:sheet name="Source Verification" sheetId="6" r:id="Rca55602a2d5847a9"/>
    <x:sheet name="Record Decisions" sheetId="7" r:id="Rf2a559b43e344d7b"/>
    <x:sheet name="Column Decisions" sheetId="8" r:id="Rf8aaaeea65514d11"/>
    <x:sheet name="Figures" sheetId="9" r:id="R7b23a8a820e24272"/>
    <x:sheet name="Plot Index" sheetId="10" r:id="R3d60df7c0c75457a"/>
    <x:sheet name="Cited Papers" sheetId="11" r:id="R5a170c7490324429"/>
    <x:sheet name="Current References" sheetId="12" r:id="CurrentReferences2026100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0.000"/>
    <x:numFmt numFmtId="204" formatCode="+0;-0;0"/>
  </x:numFmts>
  <x:fonts count="28">
    <x:font>
      <x:sz val="11"/>
      <x:name val="Carlito"/>
    </x:font>
    <x:font>
      <x:b/>
      <x:sz val="16"/>
      <x:color rgb="FFFFFFFF"/>
      <x:name val="Aptos Display"/>
    </x:font>
    <x:font>
      <x:b/>
      <x:sz val="10"/>
      <x:color rgb="FFFFFFFF"/>
      <x:name val="Aptos"/>
    </x:font>
    <x:font>
      <x:b/>
      <x:sz val="10"/>
      <x:color rgb="FF17365D"/>
      <x:name val="Aptos"/>
    </x:font>
    <x:font>
      <x:b/>
      <x:sz val="10"/>
      <x:color rgb="FF1F2937"/>
      <x:name val="Aptos"/>
    </x:font>
    <x:font>
      <x:b/>
      <x:sz val="10"/>
      <x:color rgb="FF7F3300"/>
      <x:name val="Aptos"/>
    </x:font>
    <x:font>
      <x:sz val="10"/>
      <x:color rgb="FF1F2937"/>
      <x:name val="Aptos"/>
    </x:font>
    <x:font>
      <x:b/>
      <x:sz val="15"/>
      <x:color rgb="FFFFFFFF"/>
      <x:name val="Aptos Display"/>
    </x:font>
    <x:font>
      <x:sz val="11"/>
      <x:color rgb="FF202A35"/>
      <x:name val="Arial"/>
    </x:font>
    <x:font>
      <x:b/>
      <x:sz val="16"/>
      <x:color rgb="FF17365D"/>
      <x:name val="Arial"/>
    </x:font>
    <x:font>
      <x:b/>
      <x:sz val="11"/>
      <x:color rgb="FF17365D"/>
      <x:name val="Arial"/>
    </x:font>
    <x:font>
      <x:sz val="11"/>
      <x:color rgb="FF465364"/>
      <x:name val="Arial"/>
    </x:font>
    <x:font>
      <x:b/>
      <x:sz val="11"/>
      <x:color rgb="FFFFFFFF"/>
      <x:name val="Arial"/>
    </x:font>
    <x:font>
      <x:sz val="11"/>
      <x:color rgb="FF0563C1"/>
      <x:name val="Arial"/>
    </x:font>
    <x:font>
      <x:sz val="11"/>
      <x:name val="Carlito"/>
    </x:font>
    <x:font>
      <x:sz val="11"/>
      <x:color rgb="FF202A35"/>
      <x:name val="Arial"/>
    </x:font>
    <x:font>
      <x:b/>
      <x:sz val="16"/>
      <x:color rgb="FF17365D"/>
      <x:name val="Arial"/>
    </x:font>
    <x:font>
      <x:b/>
      <x:sz val="11"/>
      <x:color rgb="FF17365D"/>
      <x:name val="Arial"/>
    </x:font>
    <x:font>
      <x:sz val="11"/>
      <x:color rgb="FF465364"/>
      <x:name val="Arial"/>
    </x:font>
    <x:font>
      <x:b/>
      <x:sz val="11"/>
      <x:color rgb="FFFFFFFF"/>
      <x:name val="Arial"/>
    </x:font>
    <x:font>
      <x:sz val="11"/>
      <x:color rgb="FF0563C1"/>
      <x:name val="Arial"/>
    </x:font>
    <x:font>
      <x:sz val="11"/>
      <x:name val="Carlito"/>
    </x:font>
    <x:font>
      <x:sz val="11"/>
      <x:color rgb="FF263340"/>
      <x:name val="Arial"/>
    </x:font>
    <x:font>
      <x:b/>
      <x:sz val="11"/>
      <x:color rgb="FFFFFFFF"/>
      <x:name val="Arial"/>
    </x:font>
    <x:font>
      <x:sz val="11"/>
      <x:color rgb="FF0563C1"/>
      <x:name val="Arial"/>
    </x:font>
    <x:font>
      <x:b/>
      <x:sz val="16"/>
      <x:color rgb="FF17365D"/>
      <x:name val="Arial"/>
    </x:font>
    <x:font>
      <x:sz val="11"/>
      <x:color rgb="FF526274"/>
      <x:name val="Arial"/>
    </x:font>
    <x:font>
      <x:b/>
      <x:sz val="11"/>
      <x:color rgb="FF17365D"/>
      <x:name val="Arial"/>
    </x:font>
  </x:fonts>
  <x:fills count="19">
    <x:fill>
      <x:patternFill patternType="none"/>
    </x:fill>
    <x:fill>
      <x:patternFill patternType="gray125"/>
    </x:fill>
    <x:fill>
      <x:patternFill patternType="solid">
        <x:fgColor rgb="FF17365D"/>
      </x:patternFill>
    </x:fill>
    <x:fill>
      <x:patternFill patternType="solid">
        <x:fgColor rgb="FF0F766E"/>
      </x:patternFill>
    </x:fill>
    <x:fill>
      <x:patternFill patternType="solid">
        <x:fgColor rgb="FFEAF2F8"/>
      </x:patternFill>
    </x:fill>
    <x:fill>
      <x:patternFill patternType="solid">
        <x:fgColor rgb="FFC65911"/>
      </x:patternFill>
    </x:fill>
    <x:fill>
      <x:patternFill patternType="solid">
        <x:fgColor rgb="FFFCE4D6"/>
      </x:patternFill>
    </x:fill>
    <x:fill>
      <x:patternFill patternType="solid">
        <x:fgColor rgb="FFF2F2F2"/>
      </x:patternFill>
    </x:fill>
    <x:fill>
      <x:patternFill patternType="solid">
        <x:fgColor rgb="FF17365D"/>
      </x:patternFill>
    </x:fill>
    <x:fill>
      <x:patternFill patternType="solid">
        <x:fgColor rgb="FFFFF2CC"/>
      </x:patternFill>
    </x:fill>
    <x:fill>
      <x:patternFill patternType="none"/>
    </x:fill>
    <x:fill>
      <x:patternFill patternType="gray125"/>
    </x:fill>
    <x:fill>
      <x:patternFill patternType="solid">
        <x:fgColor rgb="FF17365D"/>
      </x:patternFill>
    </x:fill>
    <x:fill>
      <x:patternFill patternType="solid">
        <x:fgColor rgb="FFFFF2CC"/>
      </x:patternFill>
    </x:fill>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E9EEF4"/>
      </x:patternFill>
    </x:fill>
  </x:fills>
  <x:borders count="6">
    <x:border/>
    <x:border>
      <x:left style="thin">
        <x:color rgb="FFD9E1E8"/>
      </x:left>
      <x:right style="thin">
        <x:color rgb="FFD9E1E8"/>
      </x:right>
      <x:top style="thin">
        <x:color rgb="FFD9E1E8"/>
      </x:top>
      <x:bottom style="thin">
        <x:color rgb="FFD9E1E8"/>
      </x:bottom>
    </x:border>
    <x:border>
      <x:bottom style="thin">
        <x:color rgb="FFD9E1E8"/>
      </x:bottom>
    </x:border>
    <x:border>
      <x:top style="thin">
        <x:color rgb="FFD9E1E8"/>
      </x:top>
      <x:bottom style="thin">
        <x:color rgb="FFD9E1E8"/>
      </x:bottom>
    </x:border>
    <x:border/>
    <x:border/>
  </x:borders>
  <x:cellStyleXfs count="3">
    <x:xf numFmtId="0" fontId="0" fillId="0" borderId="0"/>
    <x:xf numFmtId="0" fontId="14" fillId="10" borderId="4"/>
    <x:xf numFmtId="0" fontId="21" fillId="14" borderId="5"/>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200" fontId="4" fillId="0" borderId="1"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2" fillId="5" borderId="1" xfId="0" applyNumberFormat="1" applyFont="1" applyFill="1" applyBorder="1"/>
    <x:xf numFmtId="0" fontId="5" fillId="6" borderId="1" xfId="0" applyNumberFormat="1" applyFont="1" applyFill="1" applyBorder="1"/>
    <x:xf numFmtId="0" fontId="6" fillId="0"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6"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6" fillId="0" borderId="3" xfId="0" applyNumberFormat="1" applyFont="1" applyFill="1" applyBorder="1" applyAlignment="1">
      <x:alignment vertical="top" wrapText="1"/>
    </x:xf>
    <x:xf numFmtId="200" fontId="6" fillId="0" borderId="3" xfId="0" applyNumberFormat="1" applyFont="1" applyFill="1" applyBorder="1" applyAlignment="1">
      <x:alignment vertical="top" wrapText="1"/>
    </x:xf>
    <x:xf numFmtId="201" fontId="6" fillId="0" borderId="3" xfId="0" applyNumberFormat="1" applyFont="1" applyFill="1" applyBorder="1" applyAlignment="1">
      <x:alignment vertical="top" wrapText="1"/>
    </x:xf>
    <x:xf numFmtId="202" fontId="6" fillId="0" borderId="3" xfId="0" applyNumberFormat="1" applyFont="1" applyFill="1" applyBorder="1" applyAlignment="1">
      <x:alignment vertical="top" wrapText="1"/>
    </x:xf>
    <x:xf numFmtId="203" fontId="6" fillId="0" borderId="3"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204" fontId="6" fillId="0" borderId="3"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vertical="center" wrapText="1"/>
    </x:xf>
    <x:xf numFmtId="0" fontId="2" fillId="5" borderId="2" xfId="0" applyNumberFormat="1" applyFont="1" applyFill="1" applyBorder="1" applyAlignment="1">
      <x:alignment vertical="center" wrapText="1"/>
    </x:xf>
    <x:xf numFmtId="0" fontId="7" fillId="2"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vertical="top"/>
    </x:xf>
    <x:xf numFmtId="0" fontId="9" fillId="0" borderId="0" xfId="0" applyNumberFormat="1" applyFont="1" applyFill="1" applyBorder="1" applyAlignment="1">
      <x:alignment vertical="top"/>
    </x:xf>
    <x:xf numFmtId="0" fontId="10" fillId="0" borderId="0" xfId="0" applyNumberFormat="1" applyFont="1" applyFill="1" applyBorder="1" applyAlignment="1">
      <x:alignment vertical="top"/>
    </x:xf>
    <x:xf numFmtId="200" fontId="10" fillId="0" borderId="0" xfId="0" applyNumberFormat="1" applyFont="1" applyFill="1" applyBorder="1" applyAlignment="1">
      <x:alignment vertical="top"/>
    </x:xf>
    <x:xf numFmtId="200" fontId="10" fillId="0" borderId="0" xfId="0" applyNumberFormat="1" applyFont="1" applyFill="1" applyBorder="1" applyAlignment="1">
      <x:alignment horizontal="left" vertical="top"/>
    </x:xf>
    <x:xf numFmtId="0" fontId="10" fillId="0" borderId="0" xfId="0" applyNumberFormat="1" applyFont="1" applyFill="1" applyBorder="1" applyAlignment="1">
      <x:alignment horizontal="left" vertical="top"/>
    </x:xf>
    <x:xf numFmtId="0" fontId="8"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200" fontId="8" fillId="0" borderId="0" xfId="0" applyNumberFormat="1" applyFont="1" applyFill="1" applyBorder="1" applyAlignment="1">
      <x:alignment vertical="top"/>
    </x:xf>
    <x:xf numFmtId="0" fontId="8" fillId="8" borderId="0" xfId="0" applyNumberFormat="1" applyFont="1" applyFill="1" applyBorder="1" applyAlignment="1">
      <x:alignment vertical="top"/>
    </x:xf>
    <x:xf numFmtId="0" fontId="12" fillId="8" borderId="0" xfId="0" applyNumberFormat="1" applyFont="1" applyFill="1" applyBorder="1" applyAlignment="1">
      <x:alignment vertical="top"/>
    </x:xf>
    <x:xf numFmtId="0" fontId="12" fillId="8" borderId="0" xfId="0" applyNumberFormat="1" applyFont="1" applyFill="1" applyBorder="1" applyAlignment="1">
      <x:alignment vertical="top" wrapText="1"/>
    </x:xf>
    <x:xf numFmtId="0" fontId="12" fillId="8" borderId="0" xfId="0" applyNumberFormat="1" applyFont="1" applyFill="1" applyBorder="1" applyAlignment="1">
      <x:alignment horizontal="center" vertical="top" wrapText="1"/>
    </x:xf>
    <x:xf numFmtId="0" fontId="12" fillId="8" borderId="0" xfId="0" applyNumberFormat="1" applyFont="1" applyFill="1" applyBorder="1" applyAlignment="1">
      <x:alignment horizontal="center" vertical="center" wrapText="1"/>
    </x:xf>
    <x:xf numFmtId="200" fontId="8" fillId="0" borderId="0" xfId="0" applyNumberFormat="1" applyFont="1" applyFill="1" applyBorder="1" applyAlignment="1">
      <x:alignment vertical="top" wrapText="1"/>
    </x:xf>
    <x:xf numFmtId="200" fontId="8" fillId="0" borderId="0" xfId="0" applyNumberFormat="1" applyFont="1" applyFill="1" applyBorder="1" applyAlignment="1">
      <x:alignment horizontal="right" vertical="top" wrapText="1"/>
    </x:xf>
    <x:xf numFmtId="0" fontId="8" fillId="0" borderId="0" xfId="0" applyNumberFormat="1" applyFont="1" applyFill="1" applyBorder="1" applyAlignment="1">
      <x:alignment horizontal="left" vertical="top" wrapText="1"/>
    </x:xf>
    <x:xf numFmtId="0" fontId="8" fillId="9" borderId="0" xfId="0" applyNumberFormat="1" applyFont="1" applyFill="1" applyBorder="1" applyAlignment="1">
      <x:alignment horizontal="left" vertical="top" wrapText="1"/>
    </x:xf>
    <x:xf numFmtId="0" fontId="13" fillId="0" borderId="0" xfId="0" applyNumberFormat="1" applyFont="1" applyFill="1" applyBorder="1" applyAlignment="1">
      <x:alignment horizontal="left" vertical="top" wrapText="1"/>
    </x:xf>
    <x:xf numFmtId="0" fontId="14" fillId="10" borderId="4" xfId="1"/>
    <x:xf numFmtId="0" fontId="15" fillId="10" borderId="4" xfId="1" applyNumberFormat="1" applyFont="1" applyFill="1" applyBorder="1"/>
    <x:xf numFmtId="0" fontId="15" fillId="10" borderId="4" xfId="1" applyNumberFormat="1" applyFont="1" applyFill="1" applyBorder="1" applyAlignment="1">
      <x:alignment vertical="top"/>
    </x:xf>
    <x:xf numFmtId="0" fontId="16" fillId="10" borderId="4" xfId="1" applyNumberFormat="1" applyFont="1" applyFill="1" applyBorder="1" applyAlignment="1">
      <x:alignment vertical="top"/>
    </x:xf>
    <x:xf numFmtId="0" fontId="17" fillId="10" borderId="4" xfId="1" applyNumberFormat="1" applyFont="1" applyFill="1" applyBorder="1" applyAlignment="1">
      <x:alignment vertical="top"/>
    </x:xf>
    <x:xf numFmtId="200" fontId="17" fillId="10" borderId="4" xfId="1" applyNumberFormat="1" applyFont="1" applyFill="1" applyBorder="1" applyAlignment="1">
      <x:alignment vertical="top"/>
    </x:xf>
    <x:xf numFmtId="0" fontId="15" fillId="10" borderId="4" xfId="1" applyNumberFormat="1" applyFont="1" applyFill="1" applyBorder="1" applyAlignment="1">
      <x:alignment vertical="top" wrapText="1"/>
    </x:xf>
    <x:xf numFmtId="0" fontId="18" fillId="10" borderId="4" xfId="1" applyNumberFormat="1" applyFont="1" applyFill="1" applyBorder="1" applyAlignment="1">
      <x:alignment vertical="top" wrapText="1"/>
    </x:xf>
    <x:xf numFmtId="200" fontId="15" fillId="10" borderId="4" xfId="1" applyNumberFormat="1" applyFont="1" applyFill="1" applyBorder="1" applyAlignment="1">
      <x:alignment vertical="top"/>
    </x:xf>
    <x:xf numFmtId="0" fontId="15" fillId="12" borderId="4" xfId="1" applyNumberFormat="1" applyFont="1" applyFill="1" applyBorder="1" applyAlignment="1">
      <x:alignment vertical="top"/>
    </x:xf>
    <x:xf numFmtId="0" fontId="19" fillId="12" borderId="4" xfId="1" applyNumberFormat="1" applyFont="1" applyFill="1" applyBorder="1" applyAlignment="1">
      <x:alignment vertical="top"/>
    </x:xf>
    <x:xf numFmtId="0" fontId="19" fillId="12" borderId="4" xfId="1" applyNumberFormat="1" applyFont="1" applyFill="1" applyBorder="1" applyAlignment="1">
      <x:alignment vertical="top" wrapText="1"/>
    </x:xf>
    <x:xf numFmtId="0" fontId="19" fillId="12" borderId="4" xfId="1" applyNumberFormat="1" applyFont="1" applyFill="1" applyBorder="1" applyAlignment="1">
      <x:alignment horizontal="center" vertical="top" wrapText="1"/>
    </x:xf>
    <x:xf numFmtId="0" fontId="19" fillId="12" borderId="4" xfId="1" applyNumberFormat="1" applyFont="1" applyFill="1" applyBorder="1" applyAlignment="1">
      <x:alignment horizontal="center" vertical="center" wrapText="1"/>
    </x:xf>
    <x:xf numFmtId="200" fontId="15" fillId="10" borderId="4" xfId="1" applyNumberFormat="1" applyFont="1" applyFill="1" applyBorder="1" applyAlignment="1">
      <x:alignment vertical="top" wrapText="1"/>
    </x:xf>
    <x:xf numFmtId="200" fontId="15" fillId="10" borderId="4" xfId="1" applyNumberFormat="1" applyFont="1" applyFill="1" applyBorder="1" applyAlignment="1">
      <x:alignment horizontal="right" vertical="top" wrapText="1"/>
    </x:xf>
    <x:xf numFmtId="0" fontId="15" fillId="13" borderId="4" xfId="1" applyNumberFormat="1" applyFont="1" applyFill="1" applyBorder="1" applyAlignment="1">
      <x:alignment vertical="top" wrapText="1"/>
    </x:xf>
    <x:xf numFmtId="0" fontId="20" fillId="10" borderId="4" xfId="1" applyNumberFormat="1" applyFont="1" applyFill="1" applyBorder="1" applyAlignment="1">
      <x:alignment vertical="top" wrapText="1"/>
    </x:xf>
    <x:xf numFmtId="0" fontId="21" fillId="14" borderId="5" xfId="2"/>
    <x:xf numFmtId="0" fontId="22" fillId="14" borderId="5" xfId="2" applyNumberFormat="1" applyFont="1" applyFill="1" applyBorder="1"/>
    <x:xf numFmtId="0" fontId="22" fillId="14" borderId="5" xfId="2" applyNumberFormat="1" applyFont="1" applyFill="1" applyBorder="1" applyAlignment="1">
      <x:alignment vertical="top"/>
    </x:xf>
    <x:xf numFmtId="0" fontId="22" fillId="14" borderId="5" xfId="2" applyNumberFormat="1" applyFont="1" applyFill="1" applyBorder="1" applyAlignment="1">
      <x:alignment vertical="top" wrapText="1"/>
    </x:xf>
    <x:xf numFmtId="0" fontId="22" fillId="16" borderId="5" xfId="2" applyNumberFormat="1" applyFont="1" applyFill="1" applyBorder="1" applyAlignment="1">
      <x:alignment vertical="top" wrapText="1"/>
    </x:xf>
    <x:xf numFmtId="0" fontId="23" fillId="16" borderId="5" xfId="2" applyNumberFormat="1" applyFont="1" applyFill="1" applyBorder="1" applyAlignment="1">
      <x:alignment vertical="top" wrapText="1"/>
    </x:xf>
    <x:xf numFmtId="0" fontId="23" fillId="16" borderId="5" xfId="2" applyNumberFormat="1" applyFont="1" applyFill="1" applyBorder="1" applyAlignment="1">
      <x:alignment horizontal="center" vertical="top" wrapText="1"/>
    </x:xf>
    <x:xf numFmtId="0" fontId="23" fillId="16" borderId="5" xfId="2" applyNumberFormat="1" applyFont="1" applyFill="1" applyBorder="1" applyAlignment="1">
      <x:alignment horizontal="center" vertical="center" wrapText="1"/>
    </x:xf>
    <x:xf numFmtId="200" fontId="22" fillId="14" borderId="5" xfId="2" applyNumberFormat="1" applyFont="1" applyFill="1" applyBorder="1" applyAlignment="1">
      <x:alignment vertical="top" wrapText="1"/>
    </x:xf>
    <x:xf numFmtId="200" fontId="22" fillId="14" borderId="5" xfId="2" applyNumberFormat="1" applyFont="1" applyFill="1" applyBorder="1" applyAlignment="1">
      <x:alignment horizontal="right" vertical="top" wrapText="1"/>
    </x:xf>
    <x:xf numFmtId="0" fontId="24" fillId="14" borderId="5" xfId="2" applyNumberFormat="1" applyFont="1" applyFill="1" applyBorder="1" applyAlignment="1">
      <x:alignment vertical="top" wrapText="1"/>
    </x:xf>
    <x:xf numFmtId="0" fontId="22" fillId="17" borderId="5" xfId="2" applyNumberFormat="1" applyFont="1" applyFill="1" applyBorder="1" applyAlignment="1">
      <x:alignment vertical="top" wrapText="1"/>
    </x:xf>
    <x:xf numFmtId="0" fontId="25" fillId="14" borderId="5" xfId="2" applyNumberFormat="1" applyFont="1" applyFill="1" applyBorder="1"/>
    <x:xf numFmtId="0" fontId="26" fillId="14" borderId="5" xfId="2" applyNumberFormat="1" applyFont="1" applyFill="1" applyBorder="1"/>
    <x:xf numFmtId="0" fontId="22" fillId="16" borderId="5" xfId="2" applyNumberFormat="1" applyFont="1" applyFill="1" applyBorder="1"/>
    <x:xf numFmtId="0" fontId="23" fillId="16" borderId="5" xfId="2" applyNumberFormat="1" applyFont="1" applyFill="1" applyBorder="1"/>
    <x:xf numFmtId="0" fontId="23" fillId="16" borderId="5" xfId="2" applyNumberFormat="1" applyFont="1" applyFill="1" applyBorder="1" applyAlignment="1">
      <x:alignment wrapText="1"/>
    </x:xf>
    <x:xf numFmtId="0" fontId="23" fillId="16" borderId="5" xfId="2" applyNumberFormat="1" applyFont="1" applyFill="1" applyBorder="1" applyAlignment="1">
      <x:alignment horizontal="center" wrapText="1"/>
    </x:xf>
    <x:xf numFmtId="200" fontId="22" fillId="14" borderId="5" xfId="2" applyNumberFormat="1" applyFont="1" applyFill="1" applyBorder="1"/>
    <x:xf numFmtId="0" fontId="22" fillId="18" borderId="5" xfId="2" applyNumberFormat="1" applyFont="1" applyFill="1" applyBorder="1"/>
    <x:xf numFmtId="200" fontId="22" fillId="18" borderId="5" xfId="2" applyNumberFormat="1" applyFont="1" applyFill="1" applyBorder="1"/>
    <x:xf numFmtId="0" fontId="27" fillId="18" borderId="5" xfId="2" applyNumberFormat="1" applyFont="1" applyFill="1" applyBorder="1"/>
    <x:xf numFmtId="200" fontId="27" fillId="18" borderId="5" xfId="2" applyNumberFormat="1" applyFont="1" applyFill="1" applyBorder="1"/>
  </x:cellXfs>
  <x:cellStyles count="1">
    <x:cellStyle name="Normal" xfId="0"/>
  </x:cellStyles>
  <x:dxfs count="2">
    <x:dxf>
      <x:fill>
        <x:patternFill patternType="solid">
          <x:bgColor rgb="FFE3EEDD"/>
        </x:patternFill>
      </x:fill>
    </x:dxf>
    <x:dxf>
      <x:font>
        <x:color rgb="FF9C2727"/>
      </x:font>
      <x:fill>
        <x:patternFill patternType="solid">
          <x:bgColor rgb="FFFCE8E6"/>
        </x:patternFill>
      </x:fill>
    </x:dxf>
  </x:dxfs>
</x:styleSheet>
</file>

<file path=xl/_rels/workbook.xml.rels><?xml version='1.0' encoding='utf-8'?>
<Relationships xmlns="http://schemas.openxmlformats.org/package/2006/relationships"><Relationship Type="http://schemas.openxmlformats.org/officeDocument/2006/relationships/styles" Target="/xl/styles.xml" Id="Re53aa0c958c64292" /><Relationship Type="http://schemas.openxmlformats.org/officeDocument/2006/relationships/theme" Target="/xl/theme/theme1.xml" Id="Rddd184ed945246f4" /><Relationship Type="http://schemas.openxmlformats.org/officeDocument/2006/relationships/sharedStrings" Target="/xl/sharedStrings.xml" Id="R25e956312ac1476e" /><Relationship Type="http://schemas.openxmlformats.org/officeDocument/2006/relationships/worksheet" Target="/xl/worksheets/sheet1.xml" Id="R1eb1dff7572c437b" /><Relationship Type="http://schemas.openxmlformats.org/officeDocument/2006/relationships/worksheet" Target="/xl/worksheets/sheet2.xml" Id="R7961befae82b4ae0" /><Relationship Type="http://schemas.openxmlformats.org/officeDocument/2006/relationships/worksheet" Target="/xl/worksheets/sheet3.xml" Id="R309b9d4a3f2345f2" /><Relationship Type="http://schemas.openxmlformats.org/officeDocument/2006/relationships/worksheet" Target="/xl/worksheets/sheet4.xml" Id="Rf46416035e2343f9" /><Relationship Type="http://schemas.openxmlformats.org/officeDocument/2006/relationships/worksheet" Target="/xl/worksheets/sheet5.xml" Id="R653fcc015f7a4c0b" /><Relationship Type="http://schemas.openxmlformats.org/officeDocument/2006/relationships/worksheet" Target="/xl/worksheets/sheet6.xml" Id="Rca55602a2d5847a9" /><Relationship Type="http://schemas.openxmlformats.org/officeDocument/2006/relationships/worksheet" Target="/xl/worksheets/sheet7.xml" Id="Rf2a559b43e344d7b" /><Relationship Type="http://schemas.openxmlformats.org/officeDocument/2006/relationships/worksheet" Target="/xl/worksheets/sheet8.xml" Id="Rf8aaaeea65514d11" /><Relationship Type="http://schemas.openxmlformats.org/officeDocument/2006/relationships/worksheet" Target="/xl/worksheets/sheet9.xml" Id="R7b23a8a820e24272" /><Relationship Type="http://schemas.openxmlformats.org/officeDocument/2006/relationships/worksheet" Target="/xl/worksheets/sheet10.xml" Id="R3d60df7c0c75457a" /><Relationship Type="http://schemas.openxmlformats.org/officeDocument/2006/relationships/worksheet" Target="/xl/worksheets/sheet11.xml" Id="R5a170c7490324429" /><Relationship Id="CurrentReferences20261001" Type="http://schemas.openxmlformats.org/officeDocument/2006/relationships/worksheet" Target="worksheets/sheet12.xml" /><Relationship Id="LiteratureUpdate13" Type="http://schemas.openxmlformats.org/officeDocument/2006/relationships/worksheet" Target="worksheets/sheet13.xml" /><Relationship Id="LiteratureUpdate14" Type="http://schemas.openxmlformats.org/officeDocument/2006/relationships/worksheet" Target="worksheets/sheet14.xml" /><Relationship Id="LiteratureUpdate15" Type="http://schemas.openxmlformats.org/officeDocument/2006/relationships/worksheet" Target="worksheets/sheet15.xml" /><Relationship Id="LiteratureUpdate16" Type="http://schemas.openxmlformats.org/officeDocument/2006/relationships/worksheet" Target="worksheets/sheet16.xml"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5281de9c024964" /><Relationship Type="http://schemas.openxmlformats.org/officeDocument/2006/relationships/chart" Target="/xl/drawings/charts/chart2.xml" Id="R1fc44df755184a6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Workbook preview: source-reported scale (log10 hours)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log10(hours)</c:v>
          </c:tx>
          <c:spPr>
            <a:solidFill xmlns:a="http://schemas.openxmlformats.org/drawingml/2006/main">
              <a:srgbClr val="0072B2"/>
            </a:solidFill>
          </c:spPr>
          <c:cat>
            <c:strRef>
              <c:f>'Figures'!$A$5:$A$11</c:f>
              <c:strCache>
                <c:ptCount val="0"/>
              </c:strCache>
            </c:strRef>
          </c:cat>
          <c:val>
            <c:numRef>
              <c:f>'Figures'!$B$5:$B$11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Workbook preview: real-robot success (%)</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SIMPLER</c:v>
          </c:tx>
          <c:spPr>
            <a:solidFill xmlns:a="http://schemas.openxmlformats.org/drawingml/2006/main">
              <a:srgbClr val="0072B2"/>
            </a:solidFill>
          </c:spPr>
          <c:cat>
            <c:strRef>
              <c:f>'Figures'!$A$24:$A$27</c:f>
              <c:strCache>
                <c:ptCount val="0"/>
              </c:strCache>
            </c:strRef>
          </c:cat>
          <c:val>
            <c:numRef>
              <c:f>'Figures'!$B$24:$B$27</c:f>
              <c:numCache>
                <c:formatCode>General</c:formatCode>
                <c:ptCount val="0"/>
              </c:numCache>
            </c:numRef>
          </c:val>
        </c:ser>
        <c:ser>
          <c:idx val="1"/>
          <c:order val="1"/>
          <c:tx>
            <c:v>World-Gymnast</c:v>
          </c:tx>
          <c:spPr>
            <a:solidFill xmlns:a="http://schemas.openxmlformats.org/drawingml/2006/main">
              <a:srgbClr val="D55E00"/>
            </a:solidFill>
          </c:spPr>
          <c:cat>
            <c:strRef>
              <c:f>'Figures'!$A$24:$A$27</c:f>
              <c:strCache>
                <c:ptCount val="0"/>
              </c:strCache>
            </c:strRef>
          </c:cat>
          <c:val>
            <c:numRef>
              <c:f>'Figures'!$C$24:$C$27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5281de9c024964"/>
        </a:graphicData>
      </a:graphic>
    </xdr:graphicFrame>
    <xdr:clientData/>
  </xdr:twoCellAnchor>
  <xdr:twoCellAnchor>
    <xdr:from>
      <xdr:col>4</xdr:col>
      <xdr:colOff>0</xdr:colOff>
      <xdr:row>22</xdr:row>
      <xdr:rowOff>0</xdr:rowOff>
    </xdr:from>
    <xdr:to>
      <xdr:col>13</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c44df755184a6c"/>
        </a:graphicData>
      </a:graphic>
    </xdr:graphicFrame>
    <xdr:clientData/>
  </xdr:twoCellAnchor>
</xdr:wsDr>
</file>

<file path=xl/tables/table1.xml><?xml version="1.0" encoding="utf-8"?>
<x:table xmlns:x="http://schemas.openxmlformats.org/spreadsheetml/2006/main" id="1" name="AuditSummaryTable" displayName="AuditSummaryTable" ref="A1:H4" headerRowCount="1" totalsRowCount="0" totalsRowShown="0">
  <x:tableColumns count="8">
    <x:tableColumn id="1" name="input_file"/>
    <x:tableColumn id="2" name="input_rows"/>
    <x:tableColumn id="3" name="retained_or_corrected_input_rows"/>
    <x:tableColumn id="4" name="excluded_input_rows"/>
    <x:tableColumn id="5" name="verified_output_rows"/>
    <x:tableColumn id="6" name="audit_conclusion"/>
    <x:tableColumn id="7" name="retention_rate (derived)"/>
    <x:tableColumn id="8" name="reconciliation"/>
  </x:tableColumns>
  <x:tableStyleInfo name="TableStyleMedium2" showFirstColumn="0" showLastColumn="0" showRowStripes="1" showColumnStripes="0"/>
</x:table>
</file>

<file path=xl/tables/table2.xml><?xml version="1.0" encoding="utf-8"?>
<x:table xmlns:x="http://schemas.openxmlformats.org/spreadsheetml/2006/main" id="2" name="VerifiedDataScaleTable" displayName="VerifiedDataScaleTable" ref="A1:L8" headerRowCount="1" totalsRowCount="0" totalsRowShown="0">
  <x:tableColumns count="12">
    <x:tableColumn id="1" name="record_id"/>
    <x:tableColumn id="2" name="system"/>
    <x:tableColumn id="3" name="measurement_scope"/>
    <x:tableColumn id="4" name="data_role"/>
    <x:tableColumn id="5" name="reported_hours"/>
    <x:tableColumn id="6" name="bound_type"/>
    <x:tableColumn id="7" name="source_version"/>
    <x:tableColumn id="8" name="source_locator"/>
    <x:tableColumn id="9" name="source_url"/>
    <x:tableColumn id="10" name="verification_date"/>
    <x:tableColumn id="11" name="verification_status"/>
    <x:tableColumn id="12" name="log10_hours (derived)"/>
  </x:tableColumns>
  <x:tableStyleInfo name="TableStyleMedium2" showFirstColumn="0" showLastColumn="0" showRowStripes="1" showColumnStripes="0"/>
</x:table>
</file>

<file path=xl/tables/table3.xml><?xml version="1.0" encoding="utf-8"?>
<x:table xmlns:x="http://schemas.openxmlformats.org/spreadsheetml/2006/main" id="3" name="VerifiedWorldGymnastTable" displayName="VerifiedWorldGymnastTable" ref="A1:Q5" headerRowCount="1" totalsRowCount="0" totalsRowShown="0">
  <x:tableColumns count="17">
    <x:tableColumn id="1" name="task"/>
    <x:tableColumn id="2" name="baseline_system"/>
    <x:tableColumn id="3" name="baseline_mean_pct"/>
    <x:tableColumn id="4" name="baseline_se_pct"/>
    <x:tableColumn id="5" name="proposed_system"/>
    <x:tableColumn id="6" name="proposed_mean_pct"/>
    <x:tableColumn id="7" name="proposed_se_pct"/>
    <x:tableColumn id="8" name="trials_per_evaluation"/>
    <x:tableColumn id="9" name="repeated_evaluations"/>
    <x:tableColumn id="10" name="evaluation_protocol"/>
    <x:tableColumn id="11" name="source_version"/>
    <x:tableColumn id="12" name="source_locator"/>
    <x:tableColumn id="13" name="source_url"/>
    <x:tableColumn id="14" name="verification_date"/>
    <x:tableColumn id="15" name="verification_status"/>
    <x:tableColumn id="16" name="delta_pp (derived)"/>
    <x:tableColumn id="17" name="direction (derived)"/>
  </x:tableColumns>
  <x:tableStyleInfo name="TableStyleMedium2" showFirstColumn="0" showLastColumn="0" showRowStripes="1" showColumnStripes="0"/>
</x:table>
</file>

<file path=xl/tables/table4.xml><?xml version="1.0" encoding="utf-8"?>
<x:table xmlns:x="http://schemas.openxmlformats.org/spreadsheetml/2006/main" id="4" name="VerifiedSourcesTable" displayName="VerifiedSourcesTable" ref="A1:H7" headerRowCount="1" totalsRowCount="0" totalsRowShown="0">
  <x:tableColumns count="8">
    <x:tableColumn id="1" name="source_id"/>
    <x:tableColumn id="2" name="system_or_dataset"/>
    <x:tableColumn id="3" name="title"/>
    <x:tableColumn id="4" name="source_version_date"/>
    <x:tableColumn id="5" name="source_version"/>
    <x:tableColumn id="6" name="source_url"/>
    <x:tableColumn id="7" name="verification_date"/>
    <x:tableColumn id="8" name="verification_status"/>
  </x:tableColumns>
  <x:tableStyleInfo name="TableStyleMedium2" showFirstColumn="0" showLastColumn="0" showRowStripes="1" showColumnStripes="0"/>
</x:table>
</file>

<file path=xl/tables/table5.xml><?xml version="1.0" encoding="utf-8"?>
<x:table xmlns:x="http://schemas.openxmlformats.org/spreadsheetml/2006/main" id="5" name="SourceVerificationTable" displayName="SourceVerificationTable" ref="A1:H13" headerRowCount="1" totalsRowCount="0" totalsRowShown="0">
  <x:tableColumns count="8">
    <x:tableColumn id="1" name="claim_id"/>
    <x:tableColumn id="2" name="claim_type"/>
    <x:tableColumn id="3" name="submitted_representation"/>
    <x:tableColumn id="4" name="verified_representation"/>
    <x:tableColumn id="5" name="decision"/>
    <x:tableColumn id="6" name="source_locator"/>
    <x:tableColumn id="7" name="source_url"/>
    <x:tableColumn id="8" name="verification_date"/>
  </x:tableColumns>
  <x:tableStyleInfo name="TableStyleMedium2" showFirstColumn="0" showLastColumn="0" showRowStripes="1" showColumnStripes="0"/>
</x:table>
</file>

<file path=xl/tables/table6.xml><?xml version="1.0" encoding="utf-8"?>
<x:table xmlns:x="http://schemas.openxmlformats.org/spreadsheetml/2006/main" id="6" name="RecordDecisionsTable" displayName="RecordDecisionsTable" ref="A1:E148" headerRowCount="1" totalsRowCount="0" totalsRowShown="0">
  <x:tableColumns count="5">
    <x:tableColumn id="1" name="input_file"/>
    <x:tableColumn id="2" name="input_row_id"/>
    <x:tableColumn id="3" name="decision"/>
    <x:tableColumn id="4" name="retained_output_id"/>
    <x:tableColumn id="5" name="reason"/>
  </x:tableColumns>
  <x:tableStyleInfo name="TableStyleMedium2" showFirstColumn="0" showLastColumn="0" showRowStripes="1" showColumnStripes="0"/>
</x:table>
</file>

<file path=xl/tables/table7.xml><?xml version="1.0" encoding="utf-8"?>
<x:table xmlns:x="http://schemas.openxmlformats.org/spreadsheetml/2006/main" id="7" name="ColumnDecisionsTable" displayName="ColumnDecisionsTable" ref="A1:D52" headerRowCount="1" totalsRowCount="0" totalsRowShown="0">
  <x:tableColumns count="4">
    <x:tableColumn id="1" name="input_file"/>
    <x:tableColumn id="2" name="input_column"/>
    <x:tableColumn id="3" name="decision"/>
    <x:tableColumn id="4" name="reason"/>
  </x:tableColumns>
  <x:tableStyleInfo name="TableStyleMedium2" showFirstColumn="0" showLastColumn="0" showRowStripes="1" showColumnStripes="0"/>
</x:table>
</file>

<file path=xl/tables/table8.xml><?xml version="1.0" encoding="utf-8"?>
<x:table xmlns:x="http://schemas.openxmlformats.org/spreadsheetml/2006/main" id="8" name="PlotIndexTable" displayName="PlotIndexTable" ref="A1:E5" headerRowCount="1" totalsRowCount="0" totalsRowShown="0">
  <x:tableColumns count="5">
    <x:tableColumn id="1" name="file"/>
    <x:tableColumn id="2" name="format"/>
    <x:tableColumn id="3" name="resolution"/>
    <x:tableColumn id="4" name="source data"/>
    <x:tableColumn id="5" name="recommended use"/>
  </x:tableColumns>
  <x:tableStyleInfo name="TableStyleMedium2" showFirstColumn="0" showLastColumn="0" showRowStripes="1" showColumnStripes="0"/>
</x:table>
</file>

<file path=xl/tables/table9.xml><?xml version="1.0" encoding="utf-8"?>
<x:table xmlns:x="http://schemas.openxmlformats.org/spreadsheetml/2006/main" id="9" name="CitedPapers" displayName="CitedPapers" ref="A8:M183" headerRowCount="1" totalsRowCount="0" totalsRowShown="0">
  <x:autoFilter ref="A8:M183"/>
  <x:tableColumns count="13">
    <x:tableColumn id="1" name="Ref."/>
    <x:tableColumn id="2" name="Year (as cited)"/>
    <x:tableColumn id="3" name="Reference (as cited)"/>
    <x:tableColumn id="4" name="Two-sentence summary"/>
    <x:tableColumn id="5" name="Primary source link"/>
    <x:tableColumn id="6" name="Topic / role"/>
    <x:tableColumn id="7" name="Source type"/>
    <x:tableColumn id="8" name="Review decision"/>
    <x:tableColumn id="9" name="Decision reason"/>
    <x:tableColumn id="10" name="Report ID"/>
    <x:tableColumn id="11" name="Citation key"/>
    <x:tableColumn id="12" name="Metadata notes"/>
    <x:tableColumn id="13" name="Summary basis"/>
  </x:tableColumns>
  <x:tableStyleInfo name="TableStyleMedium2" showFirstColumn="0" showLastColumn="0" showRowStripes="1" showColumnStripes="0"/>
</x:table>
</file>

<file path=xl/tables/table10.xml><?xml version="1.0" encoding="utf-8"?>
<x:table xmlns:x="http://schemas.openxmlformats.org/spreadsheetml/2006/main" id="10" name="CurrentManuscriptReferences" displayName="CurrentManuscriptReferences" ref="A8:H187" headerRowCount="1" totalsRowCount="0" totalsRowShown="0">
  <x:autoFilter ref="A8:H187"/>
  <x:tableColumns count="8">
    <x:tableColumn id="1" name="Ref."/>
    <x:tableColumn id="2" name="Citation key"/>
    <x:tableColumn id="3" name="Year (as cited)"/>
    <x:tableColumn id="4" name="Reference (as cited)"/>
    <x:tableColumn id="5" name="Two-sentence summary"/>
    <x:tableColumn id="6" name="Primary source link"/>
    <x:tableColumn id="7" name="Source type"/>
    <x:tableColumn id="8" name="Review decision"/>
  </x:tableColumns>
  <x:tableStyleInfo name="TableStyleMedium2" showFirstColumn="0" showLastColumn="0" showRowStripes="1" showColumnStripes="0"/>
</x:table>
</file>

<file path=xl/tables/table11.xml><?xml version="1.0" encoding="utf-8"?>
<x:table xmlns:x="http://schemas.openxmlformats.org/spreadsheetml/2006/main" id="11" name="ReviewedLiterature" displayName="ReviewedLiterature" ref="A1:V215" headerRowCount="1" totalsRowCount="0" totalsRowShown="0">
  <x:autoFilter ref="A1:V215"/>
  <x:tableColumns count="22">
    <x:tableColumn id="1" name="Record ID"/>
    <x:tableColumn id="2" name="Primary category"/>
    <x:tableColumn id="3" name="Model / resource"/>
    <x:tableColumn id="4" name="Preprint / source year"/>
    <x:tableColumn id="5" name="Paper / report title"/>
    <x:tableColumn id="6" name="Two-sentence summary"/>
    <x:tableColumn id="7" name="Primary source link"/>
    <x:tableColumn id="8" name="Screening recommendation"/>
    <x:tableColumn id="9" name="Author decision"/>
    <x:tableColumn id="10" name="Source type"/>
    <x:tableColumn id="11" name="Subtype"/>
    <x:tableColumn id="12" name="Secondary roles"/>
    <x:tableColumn id="13" name="Domain scope"/>
    <x:tableColumn id="14" name="Discovery origin"/>
    <x:tableColumn id="15" name="Canonical identifier"/>
    <x:tableColumn id="16" name="Source verification"/>
    <x:tableColumn id="17" name="Checked date"/>
    <x:tableColumn id="18" name="Source locator"/>
    <x:tableColumn id="19" name="Citation keys"/>
    <x:tableColumn id="20" name="Manuscript locations"/>
    <x:tableColumn id="21" name="Decision reason"/>
    <x:tableColumn id="22" name="Notes"/>
  </x:tableColumns>
  <x:tableStyleInfo name="TableStyleMedium2" showFirstColumn="0" showLastColumn="0" showRowStripes="1" showColumnStripes="0"/>
</x:table>
</file>

<file path=xl/tables/table12.xml><?xml version="1.0" encoding="utf-8"?>
<x:table xmlns:x="http://schemas.openxmlformats.org/spreadsheetml/2006/main" id="12" name="ManuscriptTableCoverage" displayName="ManuscriptTableCoverage" ref="A1:I97" headerRowCount="1" totalsRowCount="0" totalsRowShown="0">
  <x:autoFilter ref="A1:I97"/>
  <x:tableColumns count="9">
    <x:tableColumn id="1" name="Manuscript table"/>
    <x:tableColumn id="2" name="Printed entry"/>
    <x:tableColumn id="3" name="Cited key"/>
    <x:tableColumn id="4" name="Matched record"/>
    <x:tableColumn id="5" name="Primary category"/>
    <x:tableColumn id="6" name="Proposed decision"/>
    <x:tableColumn id="7" name="Matched source title"/>
    <x:tableColumn id="8" name="Source link"/>
    <x:tableColumn id="9" name="Correction / note"/>
  </x:tableColumns>
  <x:tableStyleInfo name="TableStyleMedium2" showFirstColumn="0" showLastColumn="0" showRowStripes="1" showColumnStripes="0"/>
</x:table>
</file>

<file path=xl/tables/table13.xml><?xml version="1.0" encoding="utf-8"?>
<x:table xmlns:x="http://schemas.openxmlformats.org/spreadsheetml/2006/main" id="13" name="SupplementarySearchLog" displayName="SupplementarySearchLog" ref="A1:E77" headerRowCount="1" totalsRowCount="0" totalsRowShown="0">
  <x:autoFilter ref="A1:E77"/>
  <x:tableColumns count="5">
    <x:tableColumn id="1" name="Search date"/>
    <x:tableColumn id="2" name="Research category"/>
    <x:tableColumn id="3" name="Search query / source check"/>
    <x:tableColumn id="4" name="Primary source links"/>
    <x:tableColumn id="5" name="Scope / outco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7c1216363249da" /></Relationships>
</file>

<file path=xl/worksheets/_rels/sheet3.xml.rels>&#65279;<?xml version="1.0" encoding="utf-8"?><Relationships xmlns="http://schemas.openxmlformats.org/package/2006/relationships"><Relationship Type="http://schemas.openxmlformats.org/officeDocument/2006/relationships/table" Target="/xl/tables/table2.xml" Id="R5fab78d6f7414e7d" /></Relationships>
</file>

<file path=xl/worksheets/_rels/sheet4.xml.rels>&#65279;<?xml version="1.0" encoding="utf-8"?><Relationships xmlns="http://schemas.openxmlformats.org/package/2006/relationships"><Relationship Type="http://schemas.openxmlformats.org/officeDocument/2006/relationships/table" Target="/xl/tables/table3.xml" Id="R4b5deb6c325a4e09" /></Relationships>
</file>

<file path=xl/worksheets/_rels/sheet5.xml.rels>&#65279;<?xml version="1.0" encoding="utf-8"?><Relationships xmlns="http://schemas.openxmlformats.org/package/2006/relationships"><Relationship Type="http://schemas.openxmlformats.org/officeDocument/2006/relationships/table" Target="/xl/tables/table4.xml" Id="R68d8fc6546ef46d2" /></Relationships>
</file>

<file path=xl/worksheets/_rels/sheet6.xml.rels>&#65279;<?xml version="1.0" encoding="utf-8"?><Relationships xmlns="http://schemas.openxmlformats.org/package/2006/relationships"><Relationship Type="http://schemas.openxmlformats.org/officeDocument/2006/relationships/table" Target="/xl/tables/table5.xml" Id="R3f669d406ee64ff0" /></Relationships>
</file>

<file path=xl/worksheets/_rels/sheet7.xml.rels>&#65279;<?xml version="1.0" encoding="utf-8"?><Relationships xmlns="http://schemas.openxmlformats.org/package/2006/relationships"><Relationship Type="http://schemas.openxmlformats.org/officeDocument/2006/relationships/table" Target="/xl/tables/table6.xml" Id="Rd0c6f40b91364359" /></Relationships>
</file>

<file path=xl/worksheets/_rels/sheet8.xml.rels>&#65279;<?xml version="1.0" encoding="utf-8"?><Relationships xmlns="http://schemas.openxmlformats.org/package/2006/relationships"><Relationship Type="http://schemas.openxmlformats.org/officeDocument/2006/relationships/table" Target="/xl/tables/table7.xml" Id="R76b97736432b484d" /></Relationships>
</file>

<file path=xl/worksheets/_rels/sheet9.xml.rels>&#65279;<?xml version="1.0" encoding="utf-8"?><Relationships xmlns="http://schemas.openxmlformats.org/package/2006/relationships"><Relationship Type="http://schemas.openxmlformats.org/officeDocument/2006/relationships/drawing" Target="/xl/drawings/drawing1.xml" Id="R43d04596e6e642cb" /></Relationships>
</file>

<file path=xl/worksheets/_rels/sheet10.xml.rels>&#65279;<?xml version="1.0" encoding="utf-8"?><Relationships xmlns="http://schemas.openxmlformats.org/package/2006/relationships"><Relationship Type="http://schemas.openxmlformats.org/officeDocument/2006/relationships/table" Target="/xl/tables/table8.xml" Id="Rc1ddd13532424f2b" /></Relationships>
</file>

<file path=xl/worksheets/_rels/sheet11.xml.rels><?xml version='1.0' encoding='utf-8'?>
<ns0:Relationships xmlns:ns0="http://schemas.openxmlformats.org/package/2006/relationships"><ns0:Relationship Type="http://schemas.openxmlformats.org/officeDocument/2006/relationships/table" Target="/xl/tables/table9.xml" Id="R2b6d2b82f1314e27" /><ns0:Relationship Id="paperLink9" Type="http://schemas.openxmlformats.org/officeDocument/2006/relationships/hyperlink" Target="https://arxiv.org/abs/2307.15818" TargetMode="External" /><ns0:Relationship Id="paperLink10" Type="http://schemas.openxmlformats.org/officeDocument/2006/relationships/hyperlink" Target="https://arxiv.org/abs/2406.09246" TargetMode="External" /><ns0:Relationship Id="paperLink11" Type="http://schemas.openxmlformats.org/officeDocument/2006/relationships/hyperlink" Target="https://arxiv.org/abs/2310.08864" TargetMode="External" /><ns0:Relationship Id="paperLink12" Type="http://schemas.openxmlformats.org/officeDocument/2006/relationships/hyperlink" Target="https://arxiv.org/abs/2410.24164" TargetMode="External" /><ns0:Relationship Id="paperLink13" Type="http://schemas.openxmlformats.org/officeDocument/2006/relationships/hyperlink" Target="https://arxiv.org/abs/2503.14734" TargetMode="External" /><ns0:Relationship Id="paperLink14" Type="http://schemas.openxmlformats.org/officeDocument/2006/relationships/hyperlink" Target="https://arxiv.org/abs/2503.20020" TargetMode="External" /><ns0:Relationship Id="paperLink15" Type="http://schemas.openxmlformats.org/officeDocument/2006/relationships/hyperlink" Target="https://www.figure.ai/news/helix" TargetMode="External" /><ns0:Relationship Id="paperLink16" Type="http://schemas.openxmlformats.org/officeDocument/2006/relationships/hyperlink" Target="https://arxiv.org/abs/2502.19645" TargetMode="External" /><ns0:Relationship Id="paperLink17" Type="http://schemas.openxmlformats.org/officeDocument/2006/relationships/hyperlink" Target="https://arxiv.org/abs/2510.13626" TargetMode="External" /><ns0:Relationship Id="paperLink18" Type="http://schemas.openxmlformats.org/officeDocument/2006/relationships/hyperlink" Target="https://arxiv.org/abs/2512.16881" TargetMode="External" /><ns0:Relationship Id="paperLink19" Type="http://schemas.openxmlformats.org/officeDocument/2006/relationships/hyperlink" Target="https://arxiv.org/abs/2509.09674" TargetMode="External" /><ns0:Relationship Id="paperLink20" Type="http://schemas.openxmlformats.org/officeDocument/2006/relationships/hyperlink" Target="https://arxiv.org/abs/2505.17016" TargetMode="External" /><ns0:Relationship Id="paperLink21" Type="http://schemas.openxmlformats.org/officeDocument/2006/relationships/hyperlink" Target="https://arxiv.org/abs/2506.09985" TargetMode="External" /><ns0:Relationship Id="paperLink22" Type="http://schemas.openxmlformats.org/officeDocument/2006/relationships/hyperlink" Target="https://arxiv.org/abs/2505.12705" TargetMode="External" /><ns0:Relationship Id="paperLink23" Type="http://schemas.openxmlformats.org/officeDocument/2006/relationships/hyperlink" Target="https://arxiv.org/abs/2509.24527" TargetMode="External" /><ns0:Relationship Id="paperLink24" Type="http://schemas.openxmlformats.org/officeDocument/2006/relationships/hyperlink" Target="https://arxiv.org/abs/2506.21539" TargetMode="External" /><ns0:Relationship Id="paperLink25" Type="http://schemas.openxmlformats.org/officeDocument/2006/relationships/hyperlink" Target="https://arxiv.org/abs/2601.16163" TargetMode="External" /><ns0:Relationship Id="paperLink26" Type="http://schemas.openxmlformats.org/officeDocument/2006/relationships/hyperlink" Target="https://arxiv.org/abs/2405.14093" TargetMode="External" /><ns0:Relationship Id="paperLink27" Type="http://schemas.openxmlformats.org/officeDocument/2006/relationships/hyperlink" Target="https://arxiv.org/abs/2507.01925" TargetMode="External" /><ns0:Relationship Id="paperLink28" Type="http://schemas.openxmlformats.org/officeDocument/2006/relationships/hyperlink" Target="https://arxiv.org/abs/2510.07077" TargetMode="External" /><ns0:Relationship Id="paperLink29" Type="http://schemas.openxmlformats.org/officeDocument/2006/relationships/hyperlink" Target="https://doi.org/10.1016/j.inffus.2025.104062" TargetMode="External" /><ns0:Relationship Id="paperLink30" Type="http://schemas.openxmlformats.org/officeDocument/2006/relationships/hyperlink" Target="https://arxiv.org/abs/2605.00080" TargetMode="External" /><ns0:Relationship Id="paperLink31" Type="http://schemas.openxmlformats.org/officeDocument/2006/relationships/hyperlink" Target="https://arxiv.org/abs/2510.16732" TargetMode="External" /><ns0:Relationship Id="paperLink32" Type="http://schemas.openxmlformats.org/officeDocument/2006/relationships/hyperlink" Target="https://arxiv.org/abs/2606.00113" TargetMode="External" /><ns0:Relationship Id="paperLink33" Type="http://schemas.openxmlformats.org/officeDocument/2006/relationships/hyperlink" Target="https://arxiv.org/abs/2605.12090" TargetMode="External" /><ns0:Relationship Id="paperLink34" Type="http://schemas.openxmlformats.org/officeDocument/2006/relationships/hyperlink" Target="https://arxiv.org/abs/2606.20781" TargetMode="External" /><ns0:Relationship Id="paperLink35" Type="http://schemas.openxmlformats.org/officeDocument/2006/relationships/hyperlink" Target="https://arxiv.org/abs/2505.04769" TargetMode="External" /><ns0:Relationship Id="paperLink36" Type="http://schemas.openxmlformats.org/officeDocument/2006/relationships/hyperlink" Target="https://arxiv.org/abs/2508.13073" TargetMode="External" /><ns0:Relationship Id="paperLink37" Type="http://schemas.openxmlformats.org/officeDocument/2006/relationships/hyperlink" Target="https://arxiv.org/abs/2510.24795" TargetMode="External" /><ns0:Relationship Id="paperLink38" Type="http://schemas.openxmlformats.org/officeDocument/2006/relationships/hyperlink" Target="https://doi.org/10.36227/techrxiv.176531955.54563920/v1" TargetMode="External" /><ns0:Relationship Id="paperLink39" Type="http://schemas.openxmlformats.org/officeDocument/2006/relationships/hyperlink" Target="https://arxiv.org/abs/2509.20021" TargetMode="External" /><ns0:Relationship Id="paperLink40" Type="http://schemas.openxmlformats.org/officeDocument/2006/relationships/hyperlink" Target="https://arxiv.org/abs/2503.03464" TargetMode="External" /><ns0:Relationship Id="paperLink41" Type="http://schemas.openxmlformats.org/officeDocument/2006/relationships/hyperlink" Target="https://doi.org/10.1145/3746449" TargetMode="External" /><ns0:Relationship Id="paperLink42" Type="http://schemas.openxmlformats.org/officeDocument/2006/relationships/hyperlink" Target="https://arxiv.org/abs/2511.02097" TargetMode="External" /><ns0:Relationship Id="paperLink43" Type="http://schemas.openxmlformats.org/officeDocument/2006/relationships/hyperlink" Target="https://openaccess.thecvf.com/content/ICCV2025W/WDFM-AD/html/Jiang_A_Survey_on_Vision-Language-Action_Models_for_Autonomous_Driving_ICCVW_2025_paper.html" TargetMode="External" /><ns0:Relationship Id="paperLink44" Type="http://schemas.openxmlformats.org/officeDocument/2006/relationships/hyperlink" Target="https://arxiv.org/abs/2509.19012" TargetMode="External" /><ns0:Relationship Id="paperLink45" Type="http://schemas.openxmlformats.org/officeDocument/2006/relationships/hyperlink" Target="https://doi.org/10.1136/bmj.n71" TargetMode="External" /><ns0:Relationship Id="paperLink46" Type="http://schemas.openxmlformats.org/officeDocument/2006/relationships/hyperlink" Target="https://arxiv.org/abs/2212.06817" TargetMode="External" /><ns0:Relationship Id="paperLink47" Type="http://schemas.openxmlformats.org/officeDocument/2006/relationships/hyperlink" Target="https://arxiv.org/abs/2210.03094" TargetMode="External" /><ns0:Relationship Id="paperLink48" Type="http://schemas.openxmlformats.org/officeDocument/2006/relationships/hyperlink" Target="https://arxiv.org/abs/2311.01378" TargetMode="External" /><ns0:Relationship Id="paperLink49" Type="http://schemas.openxmlformats.org/officeDocument/2006/relationships/hyperlink" Target="https://arxiv.org/abs/2406.11815" TargetMode="External" /><ns0:Relationship Id="paperLink50" Type="http://schemas.openxmlformats.org/officeDocument/2006/relationships/hyperlink" Target="https://arxiv.org/abs/2410.11758" TargetMode="External" /><ns0:Relationship Id="paperLink51" Type="http://schemas.openxmlformats.org/officeDocument/2006/relationships/hyperlink" Target="https://arxiv.org/abs/2501.09747" TargetMode="External" /><ns0:Relationship Id="paperLink52" Type="http://schemas.openxmlformats.org/officeDocument/2006/relationships/hyperlink" Target="https://arxiv.org/abs/2508.20072" TargetMode="External" /><ns0:Relationship Id="paperLink53" Type="http://schemas.openxmlformats.org/officeDocument/2006/relationships/hyperlink" Target="https://arxiv.org/abs/2405.12213" TargetMode="External" /><ns0:Relationship Id="paperLink54" Type="http://schemas.openxmlformats.org/officeDocument/2006/relationships/hyperlink" Target="https://arxiv.org/abs/2410.07864" TargetMode="External" /><ns0:Relationship Id="paperLink55" Type="http://schemas.openxmlformats.org/officeDocument/2006/relationships/hyperlink" Target="https://arxiv.org/abs/2411.19650" TargetMode="External" /><ns0:Relationship Id="paperLink56" Type="http://schemas.openxmlformats.org/officeDocument/2006/relationships/hyperlink" Target="https://arxiv.org/abs/2502.05855" TargetMode="External" /><ns0:Relationship Id="paperLink57" Type="http://schemas.openxmlformats.org/officeDocument/2006/relationships/hyperlink" Target="https://arxiv.org/abs/2304.13705" TargetMode="External" /><ns0:Relationship Id="paperLink58" Type="http://schemas.openxmlformats.org/officeDocument/2006/relationships/hyperlink" Target="https://arxiv.org/abs/2401.02117" TargetMode="External" /><ns0:Relationship Id="paperLink59" Type="http://schemas.openxmlformats.org/officeDocument/2006/relationships/hyperlink" Target="https://arxiv.org/abs/2303.04137" TargetMode="External" /><ns0:Relationship Id="paperLink60" Type="http://schemas.openxmlformats.org/officeDocument/2006/relationships/hyperlink" Target="https://arxiv.org/abs/2504.16054" TargetMode="External" /><ns0:Relationship Id="paperLink61" Type="http://schemas.openxmlformats.org/officeDocument/2006/relationships/hyperlink" Target="https://arxiv.org/abs/2204.01691" TargetMode="External" /><ns0:Relationship Id="paperLink62" Type="http://schemas.openxmlformats.org/officeDocument/2006/relationships/hyperlink" Target="https://arxiv.org/abs/2303.03378" TargetMode="External" /><ns0:Relationship Id="paperLink63" Type="http://schemas.openxmlformats.org/officeDocument/2006/relationships/hyperlink" Target="https://arxiv.org/abs/2403.01823" TargetMode="External" /><ns0:Relationship Id="paperLink64" Type="http://schemas.openxmlformats.org/officeDocument/2006/relationships/hyperlink" Target="https://arxiv.org/abs/2209.07753" TargetMode="External" /><ns0:Relationship Id="paperLink65" Type="http://schemas.openxmlformats.org/officeDocument/2006/relationships/hyperlink" Target="https://arxiv.org/abs/2307.05973" TargetMode="External" /><ns0:Relationship Id="paperLink66" Type="http://schemas.openxmlformats.org/officeDocument/2006/relationships/hyperlink" Target="https://arxiv.org/abs/2502.19417" TargetMode="External" /><ns0:Relationship Id="paperLink67" Type="http://schemas.openxmlformats.org/officeDocument/2006/relationships/hyperlink" Target="https://arxiv.org/abs/2407.08693" TargetMode="External" /><ns0:Relationship Id="paperLink68" Type="http://schemas.openxmlformats.org/officeDocument/2006/relationships/hyperlink" Target="https://arxiv.org/abs/2505.11917" TargetMode="External" /><ns0:Relationship Id="paperLink69" Type="http://schemas.openxmlformats.org/officeDocument/2006/relationships/hyperlink" Target="https://arxiv.org/abs/2506.10826" TargetMode="External" /><ns0:Relationship Id="paperLink70" Type="http://schemas.openxmlformats.org/officeDocument/2006/relationships/hyperlink" Target="https://arxiv.org/abs/2409.01652" TargetMode="External" /><ns0:Relationship Id="paperLink71" Type="http://schemas.openxmlformats.org/officeDocument/2006/relationships/hyperlink" Target="https://arxiv.org/abs/2403.03174" TargetMode="External" /><ns0:Relationship Id="paperLink72" Type="http://schemas.openxmlformats.org/officeDocument/2006/relationships/hyperlink" Target="https://arxiv.org/abs/2503.22020" TargetMode="External" /><ns0:Relationship Id="paperLink73" Type="http://schemas.openxmlformats.org/officeDocument/2006/relationships/hyperlink" Target="https://arxiv.org/abs/2412.07493v1" TargetMode="External" /><ns0:Relationship Id="paperLink74" Type="http://schemas.openxmlformats.org/officeDocument/2006/relationships/hyperlink" Target="https://arxiv.org/abs/2209.05451" TargetMode="External" /><ns0:Relationship Id="paperLink75" Type="http://schemas.openxmlformats.org/officeDocument/2006/relationships/hyperlink" Target="https://arxiv.org/abs/2306.14896" TargetMode="External" /><ns0:Relationship Id="paperLink76" Type="http://schemas.openxmlformats.org/officeDocument/2006/relationships/hyperlink" Target="https://arxiv.org/abs/2406.08545" TargetMode="External" /><ns0:Relationship Id="paperLink77" Type="http://schemas.openxmlformats.org/officeDocument/2006/relationships/hyperlink" Target="https://arxiv.org/abs/2306.17817" TargetMode="External" /><ns0:Relationship Id="paperLink78" Type="http://schemas.openxmlformats.org/officeDocument/2006/relationships/hyperlink" Target="https://arxiv.org/abs/2403.09631" TargetMode="External" /><ns0:Relationship Id="paperLink79" Type="http://schemas.openxmlformats.org/officeDocument/2006/relationships/hyperlink" Target="https://arxiv.org/abs/2501.15830" TargetMode="External" /><ns0:Relationship Id="paperLink80" Type="http://schemas.openxmlformats.org/officeDocument/2006/relationships/hyperlink" Target="https://arxiv.org/abs/2503.07511" TargetMode="External" /><ns0:Relationship Id="paperLink81" Type="http://schemas.openxmlformats.org/officeDocument/2006/relationships/hyperlink" Target="https://arxiv.org/abs/2411.18623" TargetMode="External" /><ns0:Relationship Id="paperLink82" Type="http://schemas.openxmlformats.org/officeDocument/2006/relationships/hyperlink" Target="https://arxiv.org/abs/2503.08950" TargetMode="External" /><ns0:Relationship Id="paperLink83" Type="http://schemas.openxmlformats.org/officeDocument/2006/relationships/hyperlink" Target="https://arxiv.org/abs/2506.07961" TargetMode="External" /><ns0:Relationship Id="paperLink84" Type="http://schemas.openxmlformats.org/officeDocument/2006/relationships/hyperlink" Target="https://arxiv.org/abs/2505.03233" TargetMode="External" /><ns0:Relationship Id="paperLink85" Type="http://schemas.openxmlformats.org/officeDocument/2006/relationships/hyperlink" Target="https://arxiv.org/abs/2508.09071" TargetMode="External" /><ns0:Relationship Id="paperLink86" Type="http://schemas.openxmlformats.org/officeDocument/2006/relationships/hyperlink" Target="https://arxiv.org/abs/2505.05800" TargetMode="External" /><ns0:Relationship Id="paperLink87" Type="http://schemas.openxmlformats.org/officeDocument/2006/relationships/hyperlink" Target="https://arxiv.org/abs/2501.16664" TargetMode="External" /><ns0:Relationship Id="paperLink88" Type="http://schemas.openxmlformats.org/officeDocument/2006/relationships/hyperlink" Target="https://arxiv.org/abs/2411.19309" TargetMode="External" /><ns0:Relationship Id="paperLink89" Type="http://schemas.openxmlformats.org/officeDocument/2006/relationships/hyperlink" Target="https://arxiv.org/abs/2412.09858" TargetMode="External" /><ns0:Relationship Id="paperLink90" Type="http://schemas.openxmlformats.org/officeDocument/2006/relationships/hyperlink" Target="https://arxiv.org/abs/2502.05450" TargetMode="External" /><ns0:Relationship Id="paperLink91" Type="http://schemas.openxmlformats.org/officeDocument/2006/relationships/hyperlink" Target="https://arxiv.org/abs/2505.18719" TargetMode="External" /><ns0:Relationship Id="paperLink92" Type="http://schemas.openxmlformats.org/officeDocument/2006/relationships/hyperlink" Target="https://arxiv.org/abs/2409.16578" TargetMode="External" /><ns0:Relationship Id="paperLink93" Type="http://schemas.openxmlformats.org/officeDocument/2006/relationships/hyperlink" Target="https://arxiv.org/abs/2409.12514" TargetMode="External" /><ns0:Relationship Id="paperLink94" Type="http://schemas.openxmlformats.org/officeDocument/2006/relationships/hyperlink" Target="https://arxiv.org/abs/2506.01844" TargetMode="External" /><ns0:Relationship Id="paperLink95" Type="http://schemas.openxmlformats.org/officeDocument/2006/relationships/hyperlink" Target="https://arxiv.org/abs/2507.14049" TargetMode="External" /><ns0:Relationship Id="paperLink96" Type="http://schemas.openxmlformats.org/officeDocument/2006/relationships/hyperlink" Target="https://arxiv.org/abs/2406.04339" TargetMode="External" /><ns0:Relationship Id="paperLink97" Type="http://schemas.openxmlformats.org/officeDocument/2006/relationships/hyperlink" Target="https://arxiv.org/abs/2506.07530" TargetMode="External" /><ns0:Relationship Id="paperLink98" Type="http://schemas.openxmlformats.org/officeDocument/2006/relationships/hyperlink" Target="https://arxiv.org/abs/2502.02175" TargetMode="External" /><ns0:Relationship Id="paperLink99" Type="http://schemas.openxmlformats.org/officeDocument/2006/relationships/hyperlink" Target="https://arxiv.org/abs/2506.10100" TargetMode="External" /><ns0:Relationship Id="paperLink100" Type="http://schemas.openxmlformats.org/officeDocument/2006/relationships/hyperlink" Target="https://arxiv.org/abs/2503.02310" TargetMode="External" /><ns0:Relationship Id="paperLink101" Type="http://schemas.openxmlformats.org/officeDocument/2006/relationships/hyperlink" Target="https://arxiv.org/abs/2506.13725" TargetMode="External" /><ns0:Relationship Id="paperLink102" Type="http://schemas.openxmlformats.org/officeDocument/2006/relationships/hyperlink" Target="https://arxiv.org/abs/2411.02359" TargetMode="External" /><ns0:Relationship Id="paperLink103" Type="http://schemas.openxmlformats.org/officeDocument/2006/relationships/hyperlink" Target="https://deepmind.google/blog/gemini-robotics-on-device-brings-ai-to-local-robotic-devices/" TargetMode="External" /><ns0:Relationship Id="paperLink104" Type="http://schemas.openxmlformats.org/officeDocument/2006/relationships/hyperlink" Target="https://arxiv.org/abs/2506.04217" TargetMode="External" /><ns0:Relationship Id="paperLink105" Type="http://schemas.openxmlformats.org/officeDocument/2006/relationships/hyperlink" Target="https://arxiv.org/abs/2401.12202" TargetMode="External" /><ns0:Relationship Id="paperLink106" Type="http://schemas.openxmlformats.org/officeDocument/2006/relationships/hyperlink" Target="https://arxiv.org/abs/2508.19958" TargetMode="External" /><ns0:Relationship Id="paperLink107" Type="http://schemas.openxmlformats.org/officeDocument/2006/relationships/hyperlink" Target="https://arxiv.org/abs/2506.00411" TargetMode="External" /><ns0:Relationship Id="paperLink108" Type="http://schemas.openxmlformats.org/officeDocument/2006/relationships/hyperlink" Target="https://research.nvidia.com/labs/gear/gr00t-n1_5/" TargetMode="External" /><ns0:Relationship Id="paperLink109" Type="http://schemas.openxmlformats.org/officeDocument/2006/relationships/hyperlink" Target="https://arxiv.org/abs/2410.06158" TargetMode="External" /><ns0:Relationship Id="paperLink110" Type="http://schemas.openxmlformats.org/officeDocument/2006/relationships/hyperlink" Target="https://arxiv.org/abs/2510.03342" TargetMode="External" /><ns0:Relationship Id="paperLink111" Type="http://schemas.openxmlformats.org/officeDocument/2006/relationships/hyperlink" Target="https://arxiv.org/abs/2407.07775" TargetMode="External" /><ns0:Relationship Id="paperLink112" Type="http://schemas.openxmlformats.org/officeDocument/2006/relationships/hyperlink" Target="https://proceedings.mlr.press/v15/ross11a/ross11a.pdf" TargetMode="External" /><ns0:Relationship Id="paperLink113" Type="http://schemas.openxmlformats.org/officeDocument/2006/relationships/hyperlink" Target="https://arxiv.org/abs/2403.12945" TargetMode="External" /><ns0:Relationship Id="paperLink114" Type="http://schemas.openxmlformats.org/officeDocument/2006/relationships/hyperlink" Target="https://arxiv.org/abs/2501.03575" TargetMode="External" /><ns0:Relationship Id="paperLink115" Type="http://schemas.openxmlformats.org/officeDocument/2006/relationships/hyperlink" Target="https://arxiv.org/abs/2501.09038" TargetMode="External" /><ns0:Relationship Id="paperLink116" Type="http://schemas.openxmlformats.org/officeDocument/2006/relationships/hyperlink" Target="https://arxiv.org/abs/2502.20694" TargetMode="External" /><ns0:Relationship Id="paperLink117" Type="http://schemas.openxmlformats.org/officeDocument/2006/relationships/hyperlink" Target="https://arxiv.org/abs/2503.21755" TargetMode="External" /><ns0:Relationship Id="paperLink118" Type="http://schemas.openxmlformats.org/officeDocument/2006/relationships/hyperlink" Target="https://arxiv.org/abs/2405.05941" TargetMode="External" /><ns0:Relationship Id="paperLink119" Type="http://schemas.openxmlformats.org/officeDocument/2006/relationships/hyperlink" Target="https://arxiv.org/abs/2606.23686" TargetMode="External" /><ns0:Relationship Id="paperLink120" Type="http://schemas.openxmlformats.org/officeDocument/2006/relationships/hyperlink" Target="https://arxiv.org/abs/2307.01928" TargetMode="External" /><ns0:Relationship Id="paperLink121" Type="http://schemas.openxmlformats.org/officeDocument/2006/relationships/hyperlink" Target="https://arxiv.org/abs/1903.11199" TargetMode="External" /><ns0:Relationship Id="paperLink122" Type="http://schemas.openxmlformats.org/officeDocument/2006/relationships/hyperlink" Target="https://arxiv.org/abs/1709.07523" TargetMode="External" /><ns0:Relationship Id="paperLink123" Type="http://schemas.openxmlformats.org/officeDocument/2006/relationships/hyperlink" Target="https://arxiv.org/abs/1803.10122" TargetMode="External" /><ns0:Relationship Id="paperLink124" Type="http://schemas.openxmlformats.org/officeDocument/2006/relationships/hyperlink" Target="https://arxiv.org/abs/1811.04551" TargetMode="External" /><ns0:Relationship Id="paperLink125" Type="http://schemas.openxmlformats.org/officeDocument/2006/relationships/hyperlink" Target="https://arxiv.org/abs/2301.04104" TargetMode="External" /><ns0:Relationship Id="paperLink126" Type="http://schemas.openxmlformats.org/officeDocument/2006/relationships/hyperlink" Target="https://arxiv.org/abs/1911.08265" TargetMode="External" /><ns0:Relationship Id="paperLink127" Type="http://schemas.openxmlformats.org/officeDocument/2006/relationships/hyperlink" Target="https://arxiv.org/abs/2310.16828" TargetMode="External" /><ns0:Relationship Id="paperLink128" Type="http://schemas.openxmlformats.org/officeDocument/2006/relationships/hyperlink" Target="https://arxiv.org/abs/2302.00111" TargetMode="External" /><ns0:Relationship Id="paperLink129" Type="http://schemas.openxmlformats.org/officeDocument/2006/relationships/hyperlink" Target="https://arxiv.org/abs/2310.06114" TargetMode="External" /><ns0:Relationship Id="paperLink130" Type="http://schemas.openxmlformats.org/officeDocument/2006/relationships/hyperlink" Target="https://arxiv.org/abs/2310.08576" TargetMode="External" /><ns0:Relationship Id="paperLink131" Type="http://schemas.openxmlformats.org/officeDocument/2006/relationships/hyperlink" Target="https://arxiv.org/abs/2310.10639" TargetMode="External" /><ns0:Relationship Id="paperLink132" Type="http://schemas.openxmlformats.org/officeDocument/2006/relationships/hyperlink" Target="https://arxiv.org/abs/2310.10625" TargetMode="External" /><ns0:Relationship Id="paperLink133" Type="http://schemas.openxmlformats.org/officeDocument/2006/relationships/hyperlink" Target="https://arxiv.org/abs/2405.15223" TargetMode="External" /><ns0:Relationship Id="paperLink134" Type="http://schemas.openxmlformats.org/officeDocument/2006/relationships/hyperlink" Target="https://arxiv.org/abs/2312.13139" TargetMode="External" /><ns0:Relationship Id="paperLink135" Type="http://schemas.openxmlformats.org/officeDocument/2006/relationships/hyperlink" Target="https://arxiv.org/abs/2402.15391" TargetMode="External" /><ns0:Relationship Id="paperLink136" Type="http://schemas.openxmlformats.org/officeDocument/2006/relationships/hyperlink" Target="https://deepmind.google/blog/genie-3-a-new-frontier-for-world-models/" TargetMode="External" /><ns0:Relationship Id="paperLink137" Type="http://schemas.openxmlformats.org/officeDocument/2006/relationships/hyperlink" Target="https://arxiv.org/abs/2508.05635" TargetMode="External" /><ns0:Relationship Id="paperLink138" Type="http://schemas.openxmlformats.org/officeDocument/2006/relationships/hyperlink" Target="https://arxiv.org/abs/2301.08243" TargetMode="External" /><ns0:Relationship Id="paperLink139" Type="http://schemas.openxmlformats.org/officeDocument/2006/relationships/hyperlink" Target="https://arxiv.org/abs/2404.08471" TargetMode="External" /><ns0:Relationship Id="paperLink140" Type="http://schemas.openxmlformats.org/officeDocument/2006/relationships/hyperlink" Target="https://arxiv.org/abs/2411.04983" TargetMode="External" /><ns0:Relationship Id="paperLink141" Type="http://schemas.openxmlformats.org/officeDocument/2006/relationships/hyperlink" Target="https://arxiv.org/abs/2606.15768" TargetMode="External" /><ns0:Relationship Id="paperLink142" Type="http://schemas.openxmlformats.org/officeDocument/2006/relationships/hyperlink" Target="https://arxiv.org/abs/2602.10098" TargetMode="External" /><ns0:Relationship Id="paperLink143" Type="http://schemas.openxmlformats.org/officeDocument/2006/relationships/hyperlink" Target="https://arxiv.org/abs/2504.20995" TargetMode="External" /><ns0:Relationship Id="paperLink144" Type="http://schemas.openxmlformats.org/officeDocument/2006/relationships/hyperlink" Target="https://arxiv.org/abs/2508.17600" TargetMode="External" /><ns0:Relationship Id="paperLink145" Type="http://schemas.openxmlformats.org/officeDocument/2006/relationships/hyperlink" Target="https://arxiv.org/abs/2403.08321" TargetMode="External" /><ns0:Relationship Id="paperLink146" Type="http://schemas.openxmlformats.org/officeDocument/2006/relationships/hyperlink" Target="https://arxiv.org/abs/2404.13026" TargetMode="External" /><ns0:Relationship Id="paperLink147" Type="http://schemas.openxmlformats.org/officeDocument/2006/relationships/hyperlink" Target="https://arxiv.org/abs/2606.26663" TargetMode="External" /><ns0:Relationship Id="paperLink148" Type="http://schemas.openxmlformats.org/officeDocument/2006/relationships/hyperlink" Target="https://arxiv.org/abs/2607.07287" TargetMode="External" /><ns0:Relationship Id="paperLink149" Type="http://schemas.openxmlformats.org/officeDocument/2006/relationships/hyperlink" Target="https://arxiv.org/abs/2310.17596" TargetMode="External" /><ns0:Relationship Id="paperLink150" Type="http://schemas.openxmlformats.org/officeDocument/2006/relationships/hyperlink" Target="https://arxiv.org/abs/2410.24185" TargetMode="External" /><ns0:Relationship Id="paperLink151" Type="http://schemas.openxmlformats.org/officeDocument/2006/relationships/hyperlink" Target="https://arxiv.org/abs/2505.19017" TargetMode="External" /><ns0:Relationship Id="paperLink152" Type="http://schemas.openxmlformats.org/officeDocument/2006/relationships/hyperlink" Target="https://arxiv.org/abs/2602.02454" TargetMode="External" /><ns0:Relationship Id="paperLink153" Type="http://schemas.openxmlformats.org/officeDocument/2006/relationships/hyperlink" Target="https://arxiv.org/abs/2505.15659" TargetMode="External" /><ns0:Relationship Id="paperLink154" Type="http://schemas.openxmlformats.org/officeDocument/2006/relationships/hyperlink" Target="https://arxiv.org/abs/2507.04447" TargetMode="External" /><ns0:Relationship Id="paperLink155" Type="http://schemas.openxmlformats.org/officeDocument/2006/relationships/hyperlink" Target="https://arxiv.org/abs/2603.12553" TargetMode="External" /><ns0:Relationship Id="paperLink156" Type="http://schemas.openxmlformats.org/officeDocument/2006/relationships/hyperlink" Target="https://github.com/unitreerobotics/unifolm-world-model-action" TargetMode="External" /><ns0:Relationship Id="paperLink157" Type="http://schemas.openxmlformats.org/officeDocument/2006/relationships/hyperlink" Target="https://arxiv.org/abs/2605.10942" TargetMode="External" /><ns0:Relationship Id="paperLink158" Type="http://schemas.openxmlformats.org/officeDocument/2006/relationships/hyperlink" Target="https://arxiv.org/abs/2306.03310" TargetMode="External" /><ns0:Relationship Id="paperLink159" Type="http://schemas.openxmlformats.org/officeDocument/2006/relationships/hyperlink" Target="https://arxiv.org/abs/2112.03227" TargetMode="External" /><ns0:Relationship Id="paperLink160" Type="http://schemas.openxmlformats.org/officeDocument/2006/relationships/hyperlink" Target="https://arxiv.org/abs/1909.12271" TargetMode="External" /><ns0:Relationship Id="paperLink161" Type="http://schemas.openxmlformats.org/officeDocument/2006/relationships/hyperlink" Target="https://arxiv.org/abs/2410.00425" TargetMode="External" /><ns0:Relationship Id="paperLink162" Type="http://schemas.openxmlformats.org/officeDocument/2006/relationships/hyperlink" Target="https://arxiv.org/abs/2406.02523" TargetMode="External" /><ns0:Relationship Id="paperLink163" Type="http://schemas.openxmlformats.org/officeDocument/2006/relationships/hyperlink" Target="https://arxiv.org/abs/1910.10897" TargetMode="External" /><ns0:Relationship Id="paperLink164" Type="http://schemas.openxmlformats.org/officeDocument/2006/relationships/hyperlink" Target="https://arxiv.org/abs/2412.18194" TargetMode="External" /><ns0:Relationship Id="paperLink165" Type="http://schemas.openxmlformats.org/officeDocument/2006/relationships/hyperlink" Target="https://arxiv.org/abs/2402.08191" TargetMode="External" /><ns0:Relationship Id="paperLink166" Type="http://schemas.openxmlformats.org/officeDocument/2006/relationships/hyperlink" Target="https://arxiv.org/abs/2305.12821" TargetMode="External" /><ns0:Relationship Id="paperLink167" Type="http://schemas.openxmlformats.org/officeDocument/2006/relationships/hyperlink" Target="https://arxiv.org/abs/2403.09227" TargetMode="External" /><ns0:Relationship Id="paperLink168" Type="http://schemas.openxmlformats.org/officeDocument/2006/relationships/hyperlink" Target="https://arxiv.org/abs/2506.18123" TargetMode="External" /><ns0:Relationship Id="paperLink169" Type="http://schemas.openxmlformats.org/officeDocument/2006/relationships/hyperlink" Target="https://arxiv.org/abs/2308.12952" TargetMode="External" /><ns0:Relationship Id="paperLink170" Type="http://schemas.openxmlformats.org/officeDocument/2006/relationships/hyperlink" Target="https://arxiv.org/abs/2503.06669" TargetMode="External" /><ns0:Relationship Id="paperLink171" Type="http://schemas.openxmlformats.org/officeDocument/2006/relationships/hyperlink" Target="https://arxiv.org/abs/2307.00595" TargetMode="External" /><ns0:Relationship Id="paperLink172" Type="http://schemas.openxmlformats.org/officeDocument/2006/relationships/hyperlink" Target="https://arxiv.org/abs/2412.13877" TargetMode="External" /><ns0:Relationship Id="paperLink173" Type="http://schemas.openxmlformats.org/officeDocument/2006/relationships/hyperlink" Target="https://arxiv.org/abs/2505.09694" TargetMode="External" /><ns0:Relationship Id="paperLink174" Type="http://schemas.openxmlformats.org/officeDocument/2006/relationships/hyperlink" Target="https://arxiv.org/abs/2602.08971" TargetMode="External" /><ns0:Relationship Id="paperLink175" Type="http://schemas.openxmlformats.org/officeDocument/2006/relationships/hyperlink" Target="https://arxiv.org/abs/2605.17912" TargetMode="External" /><ns0:Relationship Id="paperLink176" Type="http://schemas.openxmlformats.org/officeDocument/2006/relationships/hyperlink" Target="https://arxiv.org/abs/2603.28545" TargetMode="External" /><ns0:Relationship Id="paperLink177" Type="http://schemas.openxmlformats.org/officeDocument/2006/relationships/hyperlink" Target="https://arxiv.org/abs/2508.19236" TargetMode="External" /><ns0:Relationship Id="paperLink178" Type="http://schemas.openxmlformats.org/officeDocument/2006/relationships/hyperlink" Target="https://arxiv.org/abs/2505.22159" TargetMode="External" /><ns0:Relationship Id="paperLink179" Type="http://schemas.openxmlformats.org/officeDocument/2006/relationships/hyperlink" Target="https://arxiv.org/abs/2507.09160" TargetMode="External" /><ns0:Relationship Id="paperLink180" Type="http://schemas.openxmlformats.org/officeDocument/2006/relationships/hyperlink" Target="https://www.nature.com/articles/s41586-024-07566-y" TargetMode="External" /><ns0:Relationship Id="paperLink181" Type="http://schemas.openxmlformats.org/officeDocument/2006/relationships/hyperlink" Target="https://github.com/allenai/vla-evaluation-harness/tree/v0.4.0" TargetMode="External" /><ns0:Relationship Id="paperLink182" Type="http://schemas.openxmlformats.org/officeDocument/2006/relationships/hyperlink" Target="https://arxiv.org/abs/2602.22818" TargetMode="External" /><ns0:Relationship Id="paperLink183" Type="http://schemas.openxmlformats.org/officeDocument/2006/relationships/hyperlink" Target="https://arxiv.org/abs/2110.07058" TargetMode="External" /></ns0:Relationships>
</file>

<file path=xl/worksheets/_rels/sheet12.xml.rels><?xml version='1.0' encoding='utf-8'?>
<Relationships xmlns="http://schemas.openxmlformats.org/package/2006/relationships"><Relationship Id="tableCurrentReferences" Type="http://schemas.openxmlformats.org/officeDocument/2006/relationships/table" Target="../tables/table10.xml" /><Relationship Id="currentSource9" Type="http://schemas.openxmlformats.org/officeDocument/2006/relationships/hyperlink" Target="https://arxiv.org/abs/2307.15818" TargetMode="External" /><Relationship Id="currentSource10" Type="http://schemas.openxmlformats.org/officeDocument/2006/relationships/hyperlink" Target="https://arxiv.org/abs/2406.09246" TargetMode="External" /><Relationship Id="currentSource11" Type="http://schemas.openxmlformats.org/officeDocument/2006/relationships/hyperlink" Target="https://arxiv.org/abs/2310.08864" TargetMode="External" /><Relationship Id="currentSource12" Type="http://schemas.openxmlformats.org/officeDocument/2006/relationships/hyperlink" Target="https://arxiv.org/abs/2410.24164" TargetMode="External" /><Relationship Id="currentSource13" Type="http://schemas.openxmlformats.org/officeDocument/2006/relationships/hyperlink" Target="https://arxiv.org/abs/2503.14734" TargetMode="External" /><Relationship Id="currentSource14" Type="http://schemas.openxmlformats.org/officeDocument/2006/relationships/hyperlink" Target="https://arxiv.org/abs/2503.20020" TargetMode="External" /><Relationship Id="currentSource15" Type="http://schemas.openxmlformats.org/officeDocument/2006/relationships/hyperlink" Target="https://arxiv.org/abs/2510.03342" TargetMode="External" /><Relationship Id="currentSource16" Type="http://schemas.openxmlformats.org/officeDocument/2006/relationships/hyperlink" Target="https://arxiv.org/abs/2502.19645" TargetMode="External" /><Relationship Id="currentSource17" Type="http://schemas.openxmlformats.org/officeDocument/2006/relationships/hyperlink" Target="https://arxiv.org/abs/2510.13626" TargetMode="External" /><Relationship Id="currentSource18" Type="http://schemas.openxmlformats.org/officeDocument/2006/relationships/hyperlink" Target="https://arxiv.org/abs/2512.16881" TargetMode="External" /><Relationship Id="currentSource19" Type="http://schemas.openxmlformats.org/officeDocument/2006/relationships/hyperlink" Target="https://arxiv.org/abs/2509.09674" TargetMode="External" /><Relationship Id="currentSource20" Type="http://schemas.openxmlformats.org/officeDocument/2006/relationships/hyperlink" Target="https://arxiv.org/abs/2505.17016" TargetMode="External" /><Relationship Id="currentSource21" Type="http://schemas.openxmlformats.org/officeDocument/2006/relationships/hyperlink" Target="https://arxiv.org/abs/2506.09985" TargetMode="External" /><Relationship Id="currentSource22" Type="http://schemas.openxmlformats.org/officeDocument/2006/relationships/hyperlink" Target="https://arxiv.org/abs/2505.12705" TargetMode="External" /><Relationship Id="currentSource23" Type="http://schemas.openxmlformats.org/officeDocument/2006/relationships/hyperlink" Target="https://arxiv.org/abs/2509.24527" TargetMode="External" /><Relationship Id="currentSource24" Type="http://schemas.openxmlformats.org/officeDocument/2006/relationships/hyperlink" Target="https://arxiv.org/abs/2506.21539" TargetMode="External" /><Relationship Id="currentSource25" Type="http://schemas.openxmlformats.org/officeDocument/2006/relationships/hyperlink" Target="https://arxiv.org/abs/2601.16163" TargetMode="External" /><Relationship Id="currentSource26" Type="http://schemas.openxmlformats.org/officeDocument/2006/relationships/hyperlink" Target="https://arxiv.org/abs/2405.14093" TargetMode="External" /><Relationship Id="currentSource27" Type="http://schemas.openxmlformats.org/officeDocument/2006/relationships/hyperlink" Target="https://arxiv.org/abs/2507.01925" TargetMode="External" /><Relationship Id="currentSource28" Type="http://schemas.openxmlformats.org/officeDocument/2006/relationships/hyperlink" Target="https://arxiv.org/abs/2510.07077" TargetMode="External" /><Relationship Id="currentSource29" Type="http://schemas.openxmlformats.org/officeDocument/2006/relationships/hyperlink" Target="https://doi.org/10.1016/j.inffus.2025.104062" TargetMode="External" /><Relationship Id="currentSource30" Type="http://schemas.openxmlformats.org/officeDocument/2006/relationships/hyperlink" Target="https://arxiv.org/abs/2605.00080" TargetMode="External" /><Relationship Id="currentSource31" Type="http://schemas.openxmlformats.org/officeDocument/2006/relationships/hyperlink" Target="https://arxiv.org/abs/2510.16732" TargetMode="External" /><Relationship Id="currentSource32" Type="http://schemas.openxmlformats.org/officeDocument/2006/relationships/hyperlink" Target="https://arxiv.org/abs/2606.00113" TargetMode="External" /><Relationship Id="currentSource33" Type="http://schemas.openxmlformats.org/officeDocument/2006/relationships/hyperlink" Target="https://arxiv.org/abs/2605.12090" TargetMode="External" /><Relationship Id="currentSource34" Type="http://schemas.openxmlformats.org/officeDocument/2006/relationships/hyperlink" Target="https://arxiv.org/abs/2606.20781" TargetMode="External" /><Relationship Id="currentSource35" Type="http://schemas.openxmlformats.org/officeDocument/2006/relationships/hyperlink" Target="https://arxiv.org/abs/2505.04769" TargetMode="External" /><Relationship Id="currentSource36" Type="http://schemas.openxmlformats.org/officeDocument/2006/relationships/hyperlink" Target="https://arxiv.org/abs/2508.13073" TargetMode="External" /><Relationship Id="currentSource37" Type="http://schemas.openxmlformats.org/officeDocument/2006/relationships/hyperlink" Target="https://arxiv.org/abs/2510.24795" TargetMode="External" /><Relationship Id="currentSource38" Type="http://schemas.openxmlformats.org/officeDocument/2006/relationships/hyperlink" Target="https://doi.org/10.36227/techrxiv.176531955.54563920/v1" TargetMode="External" /><Relationship Id="currentSource39" Type="http://schemas.openxmlformats.org/officeDocument/2006/relationships/hyperlink" Target="https://arxiv.org/abs/2509.20021" TargetMode="External" /><Relationship Id="currentSource40" Type="http://schemas.openxmlformats.org/officeDocument/2006/relationships/hyperlink" Target="https://arxiv.org/abs/2503.03464" TargetMode="External" /><Relationship Id="currentSource41" Type="http://schemas.openxmlformats.org/officeDocument/2006/relationships/hyperlink" Target="https://doi.org/10.1145/3746449" TargetMode="External" /><Relationship Id="currentSource42" Type="http://schemas.openxmlformats.org/officeDocument/2006/relationships/hyperlink" Target="https://arxiv.org/abs/2511.02097" TargetMode="External" /><Relationship Id="currentSource43" Type="http://schemas.openxmlformats.org/officeDocument/2006/relationships/hyperlink" Target="https://openaccess.thecvf.com/content/ICCV2025W/WDFM-AD/html/Jiang_A_Survey_on_Vision-Language-Action_Models_for_Autonomous_Driving_ICCVW_2025_paper.html" TargetMode="External" /><Relationship Id="currentSource44" Type="http://schemas.openxmlformats.org/officeDocument/2006/relationships/hyperlink" Target="https://arxiv.org/abs/2509.19012" TargetMode="External" /><Relationship Id="currentSource45" Type="http://schemas.openxmlformats.org/officeDocument/2006/relationships/hyperlink" Target="https://doi.org/10.1136/bmj.n71" TargetMode="External" /><Relationship Id="currentSource46" Type="http://schemas.openxmlformats.org/officeDocument/2006/relationships/hyperlink" Target="https://arxiv.org/abs/2212.06817" TargetMode="External" /><Relationship Id="currentSource47" Type="http://schemas.openxmlformats.org/officeDocument/2006/relationships/hyperlink" Target="https://arxiv.org/abs/2210.03094" TargetMode="External" /><Relationship Id="currentSource48" Type="http://schemas.openxmlformats.org/officeDocument/2006/relationships/hyperlink" Target="https://arxiv.org/abs/2311.01378" TargetMode="External" /><Relationship Id="currentSource49" Type="http://schemas.openxmlformats.org/officeDocument/2006/relationships/hyperlink" Target="https://arxiv.org/abs/2406.11815" TargetMode="External" /><Relationship Id="currentSource50" Type="http://schemas.openxmlformats.org/officeDocument/2006/relationships/hyperlink" Target="https://arxiv.org/abs/2410.11758" TargetMode="External" /><Relationship Id="currentSource51" Type="http://schemas.openxmlformats.org/officeDocument/2006/relationships/hyperlink" Target="https://arxiv.org/abs/2501.09747" TargetMode="External" /><Relationship Id="currentSource52" Type="http://schemas.openxmlformats.org/officeDocument/2006/relationships/hyperlink" Target="https://arxiv.org/abs/2508.20072" TargetMode="External" /><Relationship Id="currentSource53" Type="http://schemas.openxmlformats.org/officeDocument/2006/relationships/hyperlink" Target="https://arxiv.org/abs/2405.12213" TargetMode="External" /><Relationship Id="currentSource54" Type="http://schemas.openxmlformats.org/officeDocument/2006/relationships/hyperlink" Target="https://arxiv.org/abs/2410.07864" TargetMode="External" /><Relationship Id="currentSource55" Type="http://schemas.openxmlformats.org/officeDocument/2006/relationships/hyperlink" Target="https://arxiv.org/abs/2411.19650" TargetMode="External" /><Relationship Id="currentSource56" Type="http://schemas.openxmlformats.org/officeDocument/2006/relationships/hyperlink" Target="https://arxiv.org/abs/2502.05855" TargetMode="External" /><Relationship Id="currentSource57" Type="http://schemas.openxmlformats.org/officeDocument/2006/relationships/hyperlink" Target="https://arxiv.org/abs/2304.13705" TargetMode="External" /><Relationship Id="currentSource58" Type="http://schemas.openxmlformats.org/officeDocument/2006/relationships/hyperlink" Target="https://arxiv.org/abs/2401.02117" TargetMode="External" /><Relationship Id="currentSource59" Type="http://schemas.openxmlformats.org/officeDocument/2006/relationships/hyperlink" Target="https://arxiv.org/abs/2303.04137" TargetMode="External" /><Relationship Id="currentSource60" Type="http://schemas.openxmlformats.org/officeDocument/2006/relationships/hyperlink" Target="https://arxiv.org/abs/2504.16054" TargetMode="External" /><Relationship Id="currentSource61" Type="http://schemas.openxmlformats.org/officeDocument/2006/relationships/hyperlink" Target="https://www.figure.ai/news/helix" TargetMode="External" /><Relationship Id="currentSource62" Type="http://schemas.openxmlformats.org/officeDocument/2006/relationships/hyperlink" Target="https://arxiv.org/abs/2204.01691" TargetMode="External" /><Relationship Id="currentSource63" Type="http://schemas.openxmlformats.org/officeDocument/2006/relationships/hyperlink" Target="https://arxiv.org/abs/2303.03378" TargetMode="External" /><Relationship Id="currentSource64" Type="http://schemas.openxmlformats.org/officeDocument/2006/relationships/hyperlink" Target="https://arxiv.org/abs/2403.01823" TargetMode="External" /><Relationship Id="currentSource65" Type="http://schemas.openxmlformats.org/officeDocument/2006/relationships/hyperlink" Target="https://arxiv.org/abs/2209.07753" TargetMode="External" /><Relationship Id="currentSource66" Type="http://schemas.openxmlformats.org/officeDocument/2006/relationships/hyperlink" Target="https://arxiv.org/abs/2307.05973" TargetMode="External" /><Relationship Id="currentSource67" Type="http://schemas.openxmlformats.org/officeDocument/2006/relationships/hyperlink" Target="https://arxiv.org/abs/2502.19417" TargetMode="External" /><Relationship Id="currentSource68" Type="http://schemas.openxmlformats.org/officeDocument/2006/relationships/hyperlink" Target="https://arxiv.org/abs/2407.08693" TargetMode="External" /><Relationship Id="currentSource69" Type="http://schemas.openxmlformats.org/officeDocument/2006/relationships/hyperlink" Target="https://arxiv.org/abs/2505.11917" TargetMode="External" /><Relationship Id="currentSource70" Type="http://schemas.openxmlformats.org/officeDocument/2006/relationships/hyperlink" Target="https://arxiv.org/abs/2506.10826" TargetMode="External" /><Relationship Id="currentSource71" Type="http://schemas.openxmlformats.org/officeDocument/2006/relationships/hyperlink" Target="https://arxiv.org/abs/2409.01652" TargetMode="External" /><Relationship Id="currentSource72" Type="http://schemas.openxmlformats.org/officeDocument/2006/relationships/hyperlink" Target="https://arxiv.org/abs/2403.03174" TargetMode="External" /><Relationship Id="currentSource73" Type="http://schemas.openxmlformats.org/officeDocument/2006/relationships/hyperlink" Target="https://arxiv.org/abs/2503.22020" TargetMode="External" /><Relationship Id="currentSource74" Type="http://schemas.openxmlformats.org/officeDocument/2006/relationships/hyperlink" Target="https://arxiv.org/abs/2412.07493v1" TargetMode="External" /><Relationship Id="currentSource75" Type="http://schemas.openxmlformats.org/officeDocument/2006/relationships/hyperlink" Target="https://arxiv.org/abs/2209.05451" TargetMode="External" /><Relationship Id="currentSource76" Type="http://schemas.openxmlformats.org/officeDocument/2006/relationships/hyperlink" Target="https://arxiv.org/abs/2306.14896" TargetMode="External" /><Relationship Id="currentSource77" Type="http://schemas.openxmlformats.org/officeDocument/2006/relationships/hyperlink" Target="https://arxiv.org/abs/2406.08545" TargetMode="External" /><Relationship Id="currentSource78" Type="http://schemas.openxmlformats.org/officeDocument/2006/relationships/hyperlink" Target="https://arxiv.org/abs/2306.17817" TargetMode="External" /><Relationship Id="currentSource79" Type="http://schemas.openxmlformats.org/officeDocument/2006/relationships/hyperlink" Target="https://arxiv.org/abs/2403.09631" TargetMode="External" /><Relationship Id="currentSource80" Type="http://schemas.openxmlformats.org/officeDocument/2006/relationships/hyperlink" Target="https://arxiv.org/abs/2501.15830" TargetMode="External" /><Relationship Id="currentSource81" Type="http://schemas.openxmlformats.org/officeDocument/2006/relationships/hyperlink" Target="https://arxiv.org/abs/2503.07511" TargetMode="External" /><Relationship Id="currentSource82" Type="http://schemas.openxmlformats.org/officeDocument/2006/relationships/hyperlink" Target="https://arxiv.org/abs/2411.18623" TargetMode="External" /><Relationship Id="currentSource83" Type="http://schemas.openxmlformats.org/officeDocument/2006/relationships/hyperlink" Target="https://arxiv.org/abs/2503.08950" TargetMode="External" /><Relationship Id="currentSource84" Type="http://schemas.openxmlformats.org/officeDocument/2006/relationships/hyperlink" Target="https://arxiv.org/abs/2506.07961" TargetMode="External" /><Relationship Id="currentSource85" Type="http://schemas.openxmlformats.org/officeDocument/2006/relationships/hyperlink" Target="https://arxiv.org/abs/2505.03233" TargetMode="External" /><Relationship Id="currentSource86" Type="http://schemas.openxmlformats.org/officeDocument/2006/relationships/hyperlink" Target="https://arxiv.org/abs/2508.09071" TargetMode="External" /><Relationship Id="currentSource87" Type="http://schemas.openxmlformats.org/officeDocument/2006/relationships/hyperlink" Target="https://arxiv.org/abs/2505.05800" TargetMode="External" /><Relationship Id="currentSource88" Type="http://schemas.openxmlformats.org/officeDocument/2006/relationships/hyperlink" Target="https://arxiv.org/abs/2501.16664" TargetMode="External" /><Relationship Id="currentSource89" Type="http://schemas.openxmlformats.org/officeDocument/2006/relationships/hyperlink" Target="https://arxiv.org/abs/2411.19309" TargetMode="External" /><Relationship Id="currentSource90" Type="http://schemas.openxmlformats.org/officeDocument/2006/relationships/hyperlink" Target="https://arxiv.org/abs/2412.09858" TargetMode="External" /><Relationship Id="currentSource91" Type="http://schemas.openxmlformats.org/officeDocument/2006/relationships/hyperlink" Target="https://arxiv.org/abs/2502.05450" TargetMode="External" /><Relationship Id="currentSource92" Type="http://schemas.openxmlformats.org/officeDocument/2006/relationships/hyperlink" Target="https://arxiv.org/abs/2505.18719" TargetMode="External" /><Relationship Id="currentSource93" Type="http://schemas.openxmlformats.org/officeDocument/2006/relationships/hyperlink" Target="https://arxiv.org/abs/2409.16578" TargetMode="External" /><Relationship Id="currentSource94" Type="http://schemas.openxmlformats.org/officeDocument/2006/relationships/hyperlink" Target="https://arxiv.org/abs/2409.12514" TargetMode="External" /><Relationship Id="currentSource95" Type="http://schemas.openxmlformats.org/officeDocument/2006/relationships/hyperlink" Target="https://arxiv.org/abs/2506.01844" TargetMode="External" /><Relationship Id="currentSource96" Type="http://schemas.openxmlformats.org/officeDocument/2006/relationships/hyperlink" Target="https://arxiv.org/abs/2507.14049" TargetMode="External" /><Relationship Id="currentSource97" Type="http://schemas.openxmlformats.org/officeDocument/2006/relationships/hyperlink" Target="https://arxiv.org/abs/2406.04339" TargetMode="External" /><Relationship Id="currentSource98" Type="http://schemas.openxmlformats.org/officeDocument/2006/relationships/hyperlink" Target="https://arxiv.org/abs/2506.07530" TargetMode="External" /><Relationship Id="currentSource99" Type="http://schemas.openxmlformats.org/officeDocument/2006/relationships/hyperlink" Target="https://arxiv.org/abs/2502.02175" TargetMode="External" /><Relationship Id="currentSource100" Type="http://schemas.openxmlformats.org/officeDocument/2006/relationships/hyperlink" Target="https://arxiv.org/abs/2506.10100" TargetMode="External" /><Relationship Id="currentSource101" Type="http://schemas.openxmlformats.org/officeDocument/2006/relationships/hyperlink" Target="https://arxiv.org/abs/2503.02310" TargetMode="External" /><Relationship Id="currentSource102" Type="http://schemas.openxmlformats.org/officeDocument/2006/relationships/hyperlink" Target="https://arxiv.org/abs/2506.13725" TargetMode="External" /><Relationship Id="currentSource103" Type="http://schemas.openxmlformats.org/officeDocument/2006/relationships/hyperlink" Target="https://arxiv.org/abs/2411.02359" TargetMode="External" /><Relationship Id="currentSource104" Type="http://schemas.openxmlformats.org/officeDocument/2006/relationships/hyperlink" Target="https://deepmind.google/blog/gemini-robotics-on-device-brings-ai-to-local-robotic-devices/" TargetMode="External" /><Relationship Id="currentSource105" Type="http://schemas.openxmlformats.org/officeDocument/2006/relationships/hyperlink" Target="https://arxiv.org/abs/2506.04217" TargetMode="External" /><Relationship Id="currentSource106" Type="http://schemas.openxmlformats.org/officeDocument/2006/relationships/hyperlink" Target="https://arxiv.org/abs/2401.12202" TargetMode="External" /><Relationship Id="currentSource107" Type="http://schemas.openxmlformats.org/officeDocument/2006/relationships/hyperlink" Target="https://arxiv.org/abs/2508.19958" TargetMode="External" /><Relationship Id="currentSource108" Type="http://schemas.openxmlformats.org/officeDocument/2006/relationships/hyperlink" Target="https://arxiv.org/abs/2506.00411" TargetMode="External" /><Relationship Id="currentSource109" Type="http://schemas.openxmlformats.org/officeDocument/2006/relationships/hyperlink" Target="https://research.nvidia.com/labs/gear/gr00t-n1_5/" TargetMode="External" /><Relationship Id="currentSource110" Type="http://schemas.openxmlformats.org/officeDocument/2006/relationships/hyperlink" Target="https://huggingface.co/nvidia/GR00T-N1.7-3B" TargetMode="External" /><Relationship Id="currentSource111" Type="http://schemas.openxmlformats.org/officeDocument/2006/relationships/hyperlink" Target="https://arxiv.org/abs/2604.15483" TargetMode="External" /><Relationship Id="currentSource112" Type="http://schemas.openxmlformats.org/officeDocument/2006/relationships/hyperlink" Target="https://arxiv.org/abs/2607.06403" TargetMode="External" /><Relationship Id="currentSource113" Type="http://schemas.openxmlformats.org/officeDocument/2006/relationships/hyperlink" Target="https://arxiv.org/abs/2410.06158" TargetMode="External" /><Relationship Id="currentSource114" Type="http://schemas.openxmlformats.org/officeDocument/2006/relationships/hyperlink" Target="https://www.figure.ai/news/helix-02" TargetMode="External" /><Relationship Id="currentSource115" Type="http://schemas.openxmlformats.org/officeDocument/2006/relationships/hyperlink" Target="https://proceedings.mlr.press/v15/ross11a/ross11a.pdf" TargetMode="External" /><Relationship Id="currentSource116" Type="http://schemas.openxmlformats.org/officeDocument/2006/relationships/hyperlink" Target="https://arxiv.org/abs/2403.12945" TargetMode="External" /><Relationship Id="currentSource117" Type="http://schemas.openxmlformats.org/officeDocument/2006/relationships/hyperlink" Target="https://arxiv.org/abs/2501.03575" TargetMode="External" /><Relationship Id="currentSource118" Type="http://schemas.openxmlformats.org/officeDocument/2006/relationships/hyperlink" Target="https://arxiv.org/abs/2501.09038" TargetMode="External" /><Relationship Id="currentSource119" Type="http://schemas.openxmlformats.org/officeDocument/2006/relationships/hyperlink" Target="https://arxiv.org/abs/2502.20694" TargetMode="External" /><Relationship Id="currentSource120" Type="http://schemas.openxmlformats.org/officeDocument/2006/relationships/hyperlink" Target="https://arxiv.org/abs/2503.21755" TargetMode="External" /><Relationship Id="currentSource121" Type="http://schemas.openxmlformats.org/officeDocument/2006/relationships/hyperlink" Target="https://arxiv.org/abs/2405.05941" TargetMode="External" /><Relationship Id="currentSource122" Type="http://schemas.openxmlformats.org/officeDocument/2006/relationships/hyperlink" Target="https://arxiv.org/abs/2606.23686" TargetMode="External" /><Relationship Id="currentSource123" Type="http://schemas.openxmlformats.org/officeDocument/2006/relationships/hyperlink" Target="https://arxiv.org/abs/2307.01928" TargetMode="External" /><Relationship Id="currentSource124" Type="http://schemas.openxmlformats.org/officeDocument/2006/relationships/hyperlink" Target="https://arxiv.org/abs/1903.11199" TargetMode="External" /><Relationship Id="currentSource125" Type="http://schemas.openxmlformats.org/officeDocument/2006/relationships/hyperlink" Target="https://arxiv.org/abs/1709.07523" TargetMode="External" /><Relationship Id="currentSource126" Type="http://schemas.openxmlformats.org/officeDocument/2006/relationships/hyperlink" Target="https://arxiv.org/abs/1803.10122" TargetMode="External" /><Relationship Id="currentSource127" Type="http://schemas.openxmlformats.org/officeDocument/2006/relationships/hyperlink" Target="https://arxiv.org/abs/1811.04551" TargetMode="External" /><Relationship Id="currentSource128" Type="http://schemas.openxmlformats.org/officeDocument/2006/relationships/hyperlink" Target="https://arxiv.org/abs/2301.04104" TargetMode="External" /><Relationship Id="currentSource129" Type="http://schemas.openxmlformats.org/officeDocument/2006/relationships/hyperlink" Target="https://arxiv.org/abs/1911.08265" TargetMode="External" /><Relationship Id="currentSource130" Type="http://schemas.openxmlformats.org/officeDocument/2006/relationships/hyperlink" Target="https://arxiv.org/abs/2310.16828" TargetMode="External" /><Relationship Id="currentSource131" Type="http://schemas.openxmlformats.org/officeDocument/2006/relationships/hyperlink" Target="https://arxiv.org/abs/2302.00111" TargetMode="External" /><Relationship Id="currentSource132" Type="http://schemas.openxmlformats.org/officeDocument/2006/relationships/hyperlink" Target="https://arxiv.org/abs/2310.06114" TargetMode="External" /><Relationship Id="currentSource133" Type="http://schemas.openxmlformats.org/officeDocument/2006/relationships/hyperlink" Target="https://arxiv.org/abs/2310.08576" TargetMode="External" /><Relationship Id="currentSource134" Type="http://schemas.openxmlformats.org/officeDocument/2006/relationships/hyperlink" Target="https://arxiv.org/abs/2310.10639" TargetMode="External" /><Relationship Id="currentSource135" Type="http://schemas.openxmlformats.org/officeDocument/2006/relationships/hyperlink" Target="https://arxiv.org/abs/2310.10625" TargetMode="External" /><Relationship Id="currentSource136" Type="http://schemas.openxmlformats.org/officeDocument/2006/relationships/hyperlink" Target="https://arxiv.org/abs/2405.15223" TargetMode="External" /><Relationship Id="currentSource137" Type="http://schemas.openxmlformats.org/officeDocument/2006/relationships/hyperlink" Target="https://arxiv.org/abs/2312.13139" TargetMode="External" /><Relationship Id="currentSource138" Type="http://schemas.openxmlformats.org/officeDocument/2006/relationships/hyperlink" Target="https://arxiv.org/abs/2402.15391" TargetMode="External" /><Relationship Id="currentSource139" Type="http://schemas.openxmlformats.org/officeDocument/2006/relationships/hyperlink" Target="https://deepmind.google/blog/genie-3-a-new-frontier-for-world-models/" TargetMode="External" /><Relationship Id="currentSource140" Type="http://schemas.openxmlformats.org/officeDocument/2006/relationships/hyperlink" Target="https://arxiv.org/abs/2508.05635" TargetMode="External" /><Relationship Id="currentSource141" Type="http://schemas.openxmlformats.org/officeDocument/2006/relationships/hyperlink" Target="https://arxiv.org/abs/2301.08243" TargetMode="External" /><Relationship Id="currentSource142" Type="http://schemas.openxmlformats.org/officeDocument/2006/relationships/hyperlink" Target="https://arxiv.org/abs/2404.08471" TargetMode="External" /><Relationship Id="currentSource143" Type="http://schemas.openxmlformats.org/officeDocument/2006/relationships/hyperlink" Target="https://arxiv.org/abs/2411.04983" TargetMode="External" /><Relationship Id="currentSource144" Type="http://schemas.openxmlformats.org/officeDocument/2006/relationships/hyperlink" Target="https://arxiv.org/abs/2606.15768" TargetMode="External" /><Relationship Id="currentSource145" Type="http://schemas.openxmlformats.org/officeDocument/2006/relationships/hyperlink" Target="https://arxiv.org/abs/2602.10098" TargetMode="External" /><Relationship Id="currentSource146" Type="http://schemas.openxmlformats.org/officeDocument/2006/relationships/hyperlink" Target="https://arxiv.org/abs/2504.20995" TargetMode="External" /><Relationship Id="currentSource147" Type="http://schemas.openxmlformats.org/officeDocument/2006/relationships/hyperlink" Target="https://arxiv.org/abs/2508.17600" TargetMode="External" /><Relationship Id="currentSource148" Type="http://schemas.openxmlformats.org/officeDocument/2006/relationships/hyperlink" Target="https://arxiv.org/abs/2403.08321" TargetMode="External" /><Relationship Id="currentSource149" Type="http://schemas.openxmlformats.org/officeDocument/2006/relationships/hyperlink" Target="https://arxiv.org/abs/2404.13026" TargetMode="External" /><Relationship Id="currentSource150" Type="http://schemas.openxmlformats.org/officeDocument/2006/relationships/hyperlink" Target="https://arxiv.org/abs/2606.26663" TargetMode="External" /><Relationship Id="currentSource151" Type="http://schemas.openxmlformats.org/officeDocument/2006/relationships/hyperlink" Target="https://arxiv.org/abs/2607.07287" TargetMode="External" /><Relationship Id="currentSource152" Type="http://schemas.openxmlformats.org/officeDocument/2006/relationships/hyperlink" Target="https://arxiv.org/abs/2310.17596" TargetMode="External" /><Relationship Id="currentSource153" Type="http://schemas.openxmlformats.org/officeDocument/2006/relationships/hyperlink" Target="https://arxiv.org/abs/2410.24185" TargetMode="External" /><Relationship Id="currentSource154" Type="http://schemas.openxmlformats.org/officeDocument/2006/relationships/hyperlink" Target="https://arxiv.org/abs/2505.19017" TargetMode="External" /><Relationship Id="currentSource155" Type="http://schemas.openxmlformats.org/officeDocument/2006/relationships/hyperlink" Target="https://arxiv.org/abs/2602.02454" TargetMode="External" /><Relationship Id="currentSource156" Type="http://schemas.openxmlformats.org/officeDocument/2006/relationships/hyperlink" Target="https://arxiv.org/abs/2505.15659" TargetMode="External" /><Relationship Id="currentSource157" Type="http://schemas.openxmlformats.org/officeDocument/2006/relationships/hyperlink" Target="https://arxiv.org/abs/2507.04447" TargetMode="External" /><Relationship Id="currentSource158" Type="http://schemas.openxmlformats.org/officeDocument/2006/relationships/hyperlink" Target="https://arxiv.org/abs/2603.12553" TargetMode="External" /><Relationship Id="currentSource159" Type="http://schemas.openxmlformats.org/officeDocument/2006/relationships/hyperlink" Target="https://github.com/unitreerobotics/unifolm-world-model-action" TargetMode="External" /><Relationship Id="currentSource160" Type="http://schemas.openxmlformats.org/officeDocument/2006/relationships/hyperlink" Target="https://arxiv.org/abs/2602.06949" TargetMode="External" /><Relationship Id="currentSource161" Type="http://schemas.openxmlformats.org/officeDocument/2006/relationships/hyperlink" Target="https://arxiv.org/abs/2602.15922" TargetMode="External" /><Relationship Id="currentSource162" Type="http://schemas.openxmlformats.org/officeDocument/2006/relationships/hyperlink" Target="https://arxiv.org/abs/2605.10942" TargetMode="External" /><Relationship Id="currentSource163" Type="http://schemas.openxmlformats.org/officeDocument/2006/relationships/hyperlink" Target="https://arxiv.org/abs/2306.03310" TargetMode="External" /><Relationship Id="currentSource164" Type="http://schemas.openxmlformats.org/officeDocument/2006/relationships/hyperlink" Target="https://arxiv.org/abs/2112.03227" TargetMode="External" /><Relationship Id="currentSource165" Type="http://schemas.openxmlformats.org/officeDocument/2006/relationships/hyperlink" Target="https://arxiv.org/abs/1909.12271" TargetMode="External" /><Relationship Id="currentSource166" Type="http://schemas.openxmlformats.org/officeDocument/2006/relationships/hyperlink" Target="https://arxiv.org/abs/2410.00425" TargetMode="External" /><Relationship Id="currentSource167" Type="http://schemas.openxmlformats.org/officeDocument/2006/relationships/hyperlink" Target="https://arxiv.org/abs/2406.02523" TargetMode="External" /><Relationship Id="currentSource168" Type="http://schemas.openxmlformats.org/officeDocument/2006/relationships/hyperlink" Target="https://arxiv.org/abs/1910.10897" TargetMode="External" /><Relationship Id="currentSource169" Type="http://schemas.openxmlformats.org/officeDocument/2006/relationships/hyperlink" Target="https://arxiv.org/abs/2412.18194" TargetMode="External" /><Relationship Id="currentSource170" Type="http://schemas.openxmlformats.org/officeDocument/2006/relationships/hyperlink" Target="https://arxiv.org/abs/2402.08191" TargetMode="External" /><Relationship Id="currentSource171" Type="http://schemas.openxmlformats.org/officeDocument/2006/relationships/hyperlink" Target="https://arxiv.org/abs/2305.12821" TargetMode="External" /><Relationship Id="currentSource172" Type="http://schemas.openxmlformats.org/officeDocument/2006/relationships/hyperlink" Target="https://arxiv.org/abs/2403.09227" TargetMode="External" /><Relationship Id="currentSource173" Type="http://schemas.openxmlformats.org/officeDocument/2006/relationships/hyperlink" Target="https://arxiv.org/abs/2506.18123" TargetMode="External" /><Relationship Id="currentSource174" Type="http://schemas.openxmlformats.org/officeDocument/2006/relationships/hyperlink" Target="https://arxiv.org/abs/2308.12952" TargetMode="External" /><Relationship Id="currentSource175" Type="http://schemas.openxmlformats.org/officeDocument/2006/relationships/hyperlink" Target="https://arxiv.org/abs/2503.06669" TargetMode="External" /><Relationship Id="currentSource176" Type="http://schemas.openxmlformats.org/officeDocument/2006/relationships/hyperlink" Target="https://arxiv.org/abs/2307.00595" TargetMode="External" /><Relationship Id="currentSource177" Type="http://schemas.openxmlformats.org/officeDocument/2006/relationships/hyperlink" Target="https://arxiv.org/abs/2412.13877" TargetMode="External" /><Relationship Id="currentSource178" Type="http://schemas.openxmlformats.org/officeDocument/2006/relationships/hyperlink" Target="https://arxiv.org/abs/2602.08971" TargetMode="External" /><Relationship Id="currentSource179" Type="http://schemas.openxmlformats.org/officeDocument/2006/relationships/hyperlink" Target="https://arxiv.org/abs/2605.17912" TargetMode="External" /><Relationship Id="currentSource180" Type="http://schemas.openxmlformats.org/officeDocument/2006/relationships/hyperlink" Target="https://arxiv.org/abs/2603.28545" TargetMode="External" /><Relationship Id="currentSource181" Type="http://schemas.openxmlformats.org/officeDocument/2006/relationships/hyperlink" Target="https://arxiv.org/abs/2508.19236" TargetMode="External" /><Relationship Id="currentSource182" Type="http://schemas.openxmlformats.org/officeDocument/2006/relationships/hyperlink" Target="https://arxiv.org/abs/2505.22159" TargetMode="External" /><Relationship Id="currentSource183" Type="http://schemas.openxmlformats.org/officeDocument/2006/relationships/hyperlink" Target="https://arxiv.org/abs/2507.09160" TargetMode="External" /><Relationship Id="currentSource184" Type="http://schemas.openxmlformats.org/officeDocument/2006/relationships/hyperlink" Target="https://www.nature.com/articles/s41586-024-07566-y" TargetMode="External" /><Relationship Id="currentSource185" Type="http://schemas.openxmlformats.org/officeDocument/2006/relationships/hyperlink" Target="https://github.com/allenai/vla-evaluation-harness/tree/v0.4.0" TargetMode="External" /><Relationship Id="currentSource186" Type="http://schemas.openxmlformats.org/officeDocument/2006/relationships/hyperlink" Target="https://arxiv.org/abs/2602.22818" TargetMode="External" /><Relationship Id="currentSource187" Type="http://schemas.openxmlformats.org/officeDocument/2006/relationships/hyperlink" Target="https://arxiv.org/abs/2110.07058" TargetMode="External" /></Relationships>
</file>

<file path=xl/worksheets/_rels/sheet14.xml.rels><?xml version='1.0' encoding='utf-8'?>
<Relationships xmlns="http://schemas.openxmlformats.org/package/2006/relationships"><Relationship Id="R5abf2ea048134f92" Type="http://schemas.openxmlformats.org/officeDocument/2006/relationships/table" Target="../tables/table11.xml" /><Relationship Id="primarySourceG2" Type="http://schemas.openxmlformats.org/officeDocument/2006/relationships/hyperlink" Target="https://arxiv.org/abs/2505.05800" TargetMode="External" /><Relationship Id="primarySourceG3" Type="http://schemas.openxmlformats.org/officeDocument/2006/relationships/hyperlink" Target="https://arxiv.org/abs/2403.09631" TargetMode="External" /><Relationship Id="primarySourceG4" Type="http://schemas.openxmlformats.org/officeDocument/2006/relationships/hyperlink" Target="https://arxiv.org/abs/2306.17817" TargetMode="External" /><Relationship Id="primarySourceG5" Type="http://schemas.openxmlformats.org/officeDocument/2006/relationships/hyperlink" Target="https://arxiv.org/abs/2506.07530" TargetMode="External" /><Relationship Id="primarySourceG6" Type="http://schemas.openxmlformats.org/officeDocument/2006/relationships/hyperlink" Target="https://arxiv.org/abs/2506.07961" TargetMode="External" /><Relationship Id="primarySourceG7" Type="http://schemas.openxmlformats.org/officeDocument/2006/relationships/hyperlink" Target="https://arxiv.org/abs/2506.13725" TargetMode="External" /><Relationship Id="primarySourceG8" Type="http://schemas.openxmlformats.org/officeDocument/2006/relationships/hyperlink" Target="https://arxiv.org/abs/2411.19650" TargetMode="External" /><Relationship Id="primarySourceG9" Type="http://schemas.openxmlformats.org/officeDocument/2006/relationships/hyperlink" Target="https://arxiv.org/abs/2502.05450" TargetMode="External" /><Relationship Id="primarySourceG10" Type="http://schemas.openxmlformats.org/officeDocument/2006/relationships/hyperlink" Target="https://arxiv.org/abs/2503.22020" TargetMode="External" /><Relationship Id="primarySourceG11" Type="http://schemas.openxmlformats.org/officeDocument/2006/relationships/hyperlink" Target="https://arxiv.org/abs/2411.02359" TargetMode="External" /><Relationship Id="primarySourceG12" Type="http://schemas.openxmlformats.org/officeDocument/2006/relationships/hyperlink" Target="https://arxiv.org/abs/2502.05855" TargetMode="External" /><Relationship Id="primarySourceG13" Type="http://schemas.openxmlformats.org/officeDocument/2006/relationships/hyperlink" Target="https://arxiv.org/abs/2412.03293" TargetMode="External" /><Relationship Id="primarySourceG14" Type="http://schemas.openxmlformats.org/officeDocument/2006/relationships/hyperlink" Target="https://arxiv.org/abs/2508.20072" TargetMode="External" /><Relationship Id="primarySourceG15" Type="http://schemas.openxmlformats.org/officeDocument/2006/relationships/hyperlink" Target="https://arxiv.org/abs/2407.08693" TargetMode="External" /><Relationship Id="primarySourceG16" Type="http://schemas.openxmlformats.org/officeDocument/2006/relationships/hyperlink" Target="https://arxiv.org/abs/2507.14049" TargetMode="External" /><Relationship Id="primarySourceG17" Type="http://schemas.openxmlformats.org/officeDocument/2006/relationships/hyperlink" Target="https://arxiv.org/abs/2506.10100" TargetMode="External" /><Relationship Id="primarySourceG18" Type="http://schemas.openxmlformats.org/officeDocument/2006/relationships/hyperlink" Target="https://arxiv.org/abs/2501.09747" TargetMode="External" /><Relationship Id="primarySourceG19" Type="http://schemas.openxmlformats.org/officeDocument/2006/relationships/hyperlink" Target="https://arxiv.org/abs/2409.16578" TargetMode="External" /><Relationship Id="primarySourceG20" Type="http://schemas.openxmlformats.org/officeDocument/2006/relationships/hyperlink" Target="https://arxiv.org/abs/2505.22159" TargetMode="External" /><Relationship Id="primarySourceG21" Type="http://schemas.openxmlformats.org/officeDocument/2006/relationships/hyperlink" Target="https://arxiv.org/abs/2503.08950" TargetMode="External" /><Relationship Id="primarySourceG22" Type="http://schemas.openxmlformats.org/officeDocument/2006/relationships/hyperlink" Target="https://arxiv.org/abs/2503.20020" TargetMode="External" /><Relationship Id="primarySourceG23" Type="http://schemas.openxmlformats.org/officeDocument/2006/relationships/hyperlink" Target="https://arxiv.org/abs/2510.03342" TargetMode="External" /><Relationship Id="primarySourceG24" Type="http://schemas.openxmlformats.org/officeDocument/2006/relationships/hyperlink" Target="https://arxiv.org/abs/2508.09071" TargetMode="External" /><Relationship Id="primarySourceG25" Type="http://schemas.openxmlformats.org/officeDocument/2006/relationships/hyperlink" Target="https://arxiv.org/abs/2410.06158" TargetMode="External" /><Relationship Id="primarySourceG26" Type="http://schemas.openxmlformats.org/officeDocument/2006/relationships/hyperlink" Target="https://arxiv.org/abs/2503.14734" TargetMode="External" /><Relationship Id="primarySourceG27" Type="http://schemas.openxmlformats.org/officeDocument/2006/relationships/hyperlink" Target="https://arxiv.org/abs/2411.19309" TargetMode="External" /><Relationship Id="primarySourceG28" Type="http://schemas.openxmlformats.org/officeDocument/2006/relationships/hyperlink" Target="https://arxiv.org/abs/2505.03233" TargetMode="External" /><Relationship Id="primarySourceG29" Type="http://schemas.openxmlformats.org/officeDocument/2006/relationships/hyperlink" Target="https://arxiv.org/abs/2502.19417" TargetMode="External" /><Relationship Id="primarySourceG30" Type="http://schemas.openxmlformats.org/officeDocument/2006/relationships/hyperlink" Target="https://arxiv.org/abs/2501.16664" TargetMode="External" /><Relationship Id="primarySourceG31" Type="http://schemas.openxmlformats.org/officeDocument/2006/relationships/hyperlink" Target="https://arxiv.org/abs/2410.11758" TargetMode="External" /><Relationship Id="primarySourceG32" Type="http://schemas.openxmlformats.org/officeDocument/2006/relationships/hyperlink" Target="https://arxiv.org/abs/2601.18692" TargetMode="External" /><Relationship Id="primarySourceG33" Type="http://schemas.openxmlformats.org/officeDocument/2006/relationships/hyperlink" Target="https://arxiv.org/abs/2607.06403" TargetMode="External" /><Relationship Id="primarySourceG34" Type="http://schemas.openxmlformats.org/officeDocument/2006/relationships/hyperlink" Target="https://arxiv.org/abs/2406.11815" TargetMode="External" /><Relationship Id="primarySourceG35" Type="http://schemas.openxmlformats.org/officeDocument/2006/relationships/hyperlink" Target="https://arxiv.org/abs/2506.00411" TargetMode="External" /><Relationship Id="primarySourceG36" Type="http://schemas.openxmlformats.org/officeDocument/2006/relationships/hyperlink" Target="https://arxiv.org/abs/2508.19958" TargetMode="External" /><Relationship Id="primarySourceG37" Type="http://schemas.openxmlformats.org/officeDocument/2006/relationships/hyperlink" Target="https://arxiv.org/abs/2508.19236" TargetMode="External" /><Relationship Id="primarySourceG38" Type="http://schemas.openxmlformats.org/officeDocument/2006/relationships/hyperlink" Target="https://arxiv.org/abs/2405.12213" TargetMode="External" /><Relationship Id="primarySourceG39" Type="http://schemas.openxmlformats.org/officeDocument/2006/relationships/hyperlink" Target="https://arxiv.org/abs/2505.11917" TargetMode="External" /><Relationship Id="primarySourceG40" Type="http://schemas.openxmlformats.org/officeDocument/2006/relationships/hyperlink" Target="https://arxiv.org/abs/2406.09246" TargetMode="External" /><Relationship Id="primarySourceG41" Type="http://schemas.openxmlformats.org/officeDocument/2006/relationships/hyperlink" Target="https://arxiv.org/abs/2502.19645" TargetMode="External" /><Relationship Id="primarySourceG42" Type="http://schemas.openxmlformats.org/officeDocument/2006/relationships/hyperlink" Target="https://arxiv.org/abs/2503.02310" TargetMode="External" /><Relationship Id="primarySourceG43" Type="http://schemas.openxmlformats.org/officeDocument/2006/relationships/hyperlink" Target="https://arxiv.org/abs/2503.07511" TargetMode="External" /><Relationship Id="primarySourceG44" Type="http://schemas.openxmlformats.org/officeDocument/2006/relationships/hyperlink" Target="https://arxiv.org/abs/2407.15840" TargetMode="External" /><Relationship Id="primarySourceG45" Type="http://schemas.openxmlformats.org/officeDocument/2006/relationships/hyperlink" Target="https://arxiv.org/abs/2506.10826" TargetMode="External" /><Relationship Id="primarySourceG46" Type="http://schemas.openxmlformats.org/officeDocument/2006/relationships/hyperlink" Target="https://arxiv.org/abs/2410.07864" TargetMode="External" /><Relationship Id="primarySourceG47" Type="http://schemas.openxmlformats.org/officeDocument/2006/relationships/hyperlink" Target="https://arxiv.org/abs/2505.17016" TargetMode="External" /><Relationship Id="primarySourceG48" Type="http://schemas.openxmlformats.org/officeDocument/2006/relationships/hyperlink" Target="https://arxiv.org/abs/2412.09858" TargetMode="External" /><Relationship Id="primarySourceG49" Type="http://schemas.openxmlformats.org/officeDocument/2006/relationships/hyperlink" Target="https://arxiv.org/abs/2311.01378" TargetMode="External" /><Relationship Id="primarySourceG50" Type="http://schemas.openxmlformats.org/officeDocument/2006/relationships/hyperlink" Target="https://arxiv.org/abs/2406.04339" TargetMode="External" /><Relationship Id="primarySourceG51" Type="http://schemas.openxmlformats.org/officeDocument/2006/relationships/hyperlink" Target="https://arxiv.org/abs/2412.14058" TargetMode="External" /><Relationship Id="primarySourceG52" Type="http://schemas.openxmlformats.org/officeDocument/2006/relationships/hyperlink" Target="https://arxiv.org/abs/2307.15818" TargetMode="External" /><Relationship Id="primarySourceG53" Type="http://schemas.openxmlformats.org/officeDocument/2006/relationships/hyperlink" Target="https://arxiv.org/abs/2403.01823" TargetMode="External" /><Relationship Id="primarySourceG54" Type="http://schemas.openxmlformats.org/officeDocument/2006/relationships/hyperlink" Target="https://arxiv.org/abs/2306.14896" TargetMode="External" /><Relationship Id="primarySourceG55" Type="http://schemas.openxmlformats.org/officeDocument/2006/relationships/hyperlink" Target="https://arxiv.org/abs/2406.08545" TargetMode="External" /><Relationship Id="primarySourceG56" Type="http://schemas.openxmlformats.org/officeDocument/2006/relationships/hyperlink" Target="https://arxiv.org/abs/2509.09674" TargetMode="External" /><Relationship Id="primarySourceG57" Type="http://schemas.openxmlformats.org/officeDocument/2006/relationships/hyperlink" Target="https://arxiv.org/abs/2506.01844" TargetMode="External" /><Relationship Id="primarySourceG58" Type="http://schemas.openxmlformats.org/officeDocument/2006/relationships/hyperlink" Target="https://arxiv.org/abs/2501.15830" TargetMode="External" /><Relationship Id="primarySourceG59" Type="http://schemas.openxmlformats.org/officeDocument/2006/relationships/hyperlink" Target="https://arxiv.org/abs/2507.09160" TargetMode="External" /><Relationship Id="primarySourceG60" Type="http://schemas.openxmlformats.org/officeDocument/2006/relationships/hyperlink" Target="https://arxiv.org/abs/2409.12514" TargetMode="External" /><Relationship Id="primarySourceG61" Type="http://schemas.openxmlformats.org/officeDocument/2006/relationships/hyperlink" Target="https://arxiv.org/abs/2505.06111" TargetMode="External" /><Relationship Id="primarySourceG62" Type="http://schemas.openxmlformats.org/officeDocument/2006/relationships/hyperlink" Target="https://arxiv.org/abs/2510.13054" TargetMode="External" /><Relationship Id="primarySourceG63" Type="http://schemas.openxmlformats.org/officeDocument/2006/relationships/hyperlink" Target="https://arxiv.org/abs/2509.09372" TargetMode="External" /><Relationship Id="primarySourceG64" Type="http://schemas.openxmlformats.org/officeDocument/2006/relationships/hyperlink" Target="https://arxiv.org/abs/2502.02175" TargetMode="External" /><Relationship Id="primarySourceG65" Type="http://schemas.openxmlformats.org/officeDocument/2006/relationships/hyperlink" Target="https://arxiv.org/abs/2505.18719" TargetMode="External" /><Relationship Id="primarySourceG66" Type="http://schemas.openxmlformats.org/officeDocument/2006/relationships/hyperlink" Target="https://arxiv.org/abs/2410.24164" TargetMode="External" /><Relationship Id="primarySourceG67" Type="http://schemas.openxmlformats.org/officeDocument/2006/relationships/hyperlink" Target="https://arxiv.org/abs/2504.16054" TargetMode="External" /><Relationship Id="primarySourceG68" Type="http://schemas.openxmlformats.org/officeDocument/2006/relationships/hyperlink" Target="https://arxiv.org/abs/2604.15483" TargetMode="External" /><Relationship Id="primarySourceG69" Type="http://schemas.openxmlformats.org/officeDocument/2006/relationships/hyperlink" Target="https://arxiv.org/abs/2304.13705" TargetMode="External" /><Relationship Id="primarySourceG70" Type="http://schemas.openxmlformats.org/officeDocument/2006/relationships/hyperlink" Target="https://arxiv.org/abs/2209.07753" TargetMode="External" /><Relationship Id="primarySourceG71" Type="http://schemas.openxmlformats.org/officeDocument/2006/relationships/hyperlink" Target="https://arxiv.org/abs/2303.04137" TargetMode="External" /><Relationship Id="primarySourceG72" Type="http://schemas.openxmlformats.org/officeDocument/2006/relationships/hyperlink" Target="https://deepmind.google/blog/gemini-robotics-on-device-brings-ai-to-local-robotic-devices/" TargetMode="External" /><Relationship Id="primarySourceG73" Type="http://schemas.openxmlformats.org/officeDocument/2006/relationships/hyperlink" Target="https://research.nvidia.com/labs/gear/gr00t-n1_5/" TargetMode="External" /><Relationship Id="primarySourceG74" Type="http://schemas.openxmlformats.org/officeDocument/2006/relationships/hyperlink" Target="https://huggingface.co/nvidia/GR00T-N1.7-3B" TargetMode="External" /><Relationship Id="primarySourceG75" Type="http://schemas.openxmlformats.org/officeDocument/2006/relationships/hyperlink" Target="https://www.figure.ai/news/helix" TargetMode="External" /><Relationship Id="primarySourceG76" Type="http://schemas.openxmlformats.org/officeDocument/2006/relationships/hyperlink" Target="https://www.figure.ai/news/helix-02" TargetMode="External" /><Relationship Id="primarySourceG77" Type="http://schemas.openxmlformats.org/officeDocument/2006/relationships/hyperlink" Target="https://arxiv.org/abs/2204.06252" TargetMode="External" /><Relationship Id="primarySourceG78" Type="http://schemas.openxmlformats.org/officeDocument/2006/relationships/hyperlink" Target="https://arxiv.org/abs/2411.18623" TargetMode="External" /><Relationship Id="primarySourceG79" Type="http://schemas.openxmlformats.org/officeDocument/2006/relationships/hyperlink" Target="https://arxiv.org/abs/2401.02117" TargetMode="External" /><Relationship Id="primarySourceG80" Type="http://schemas.openxmlformats.org/officeDocument/2006/relationships/hyperlink" Target="https://arxiv.org/abs/2403.03174" TargetMode="External" /><Relationship Id="primarySourceG81" Type="http://schemas.openxmlformats.org/officeDocument/2006/relationships/hyperlink" Target="https://arxiv.org/abs/2401.12202" TargetMode="External" /><Relationship Id="primarySourceG82" Type="http://schemas.openxmlformats.org/officeDocument/2006/relationships/hyperlink" Target="https://arxiv.org/abs/2412.07493v1" TargetMode="External" /><Relationship Id="primarySourceG83" Type="http://schemas.openxmlformats.org/officeDocument/2006/relationships/hyperlink" Target="https://arxiv.org/abs/2506.04217" TargetMode="External" /><Relationship Id="primarySourceG84" Type="http://schemas.openxmlformats.org/officeDocument/2006/relationships/hyperlink" Target="https://arxiv.org/abs/2303.03378" TargetMode="External" /><Relationship Id="primarySourceG85" Type="http://schemas.openxmlformats.org/officeDocument/2006/relationships/hyperlink" Target="https://arxiv.org/abs/2209.05451" TargetMode="External" /><Relationship Id="primarySourceG86" Type="http://schemas.openxmlformats.org/officeDocument/2006/relationships/hyperlink" Target="https://arxiv.org/abs/2409.01652" TargetMode="External" /><Relationship Id="primarySourceG87" Type="http://schemas.openxmlformats.org/officeDocument/2006/relationships/hyperlink" Target="https://arxiv.org/abs/2212.06817" TargetMode="External" /><Relationship Id="primarySourceG88" Type="http://schemas.openxmlformats.org/officeDocument/2006/relationships/hyperlink" Target="https://arxiv.org/abs/2204.01691" TargetMode="External" /><Relationship Id="primarySourceG89" Type="http://schemas.openxmlformats.org/officeDocument/2006/relationships/hyperlink" Target="https://arxiv.org/abs/2210.03094" TargetMode="External" /><Relationship Id="primarySourceG90" Type="http://schemas.openxmlformats.org/officeDocument/2006/relationships/hyperlink" Target="https://arxiv.org/abs/2307.05973" TargetMode="External" /><Relationship Id="primarySourceG91" Type="http://schemas.openxmlformats.org/officeDocument/2006/relationships/hyperlink" Target="https://arxiv.org/abs/2609.23578" TargetMode="External" /><Relationship Id="primarySourceG92" Type="http://schemas.openxmlformats.org/officeDocument/2006/relationships/hyperlink" Target="https://arxiv.org/abs/2310.08576" TargetMode="External" /><Relationship Id="primarySourceG93" Type="http://schemas.openxmlformats.org/officeDocument/2006/relationships/hyperlink" Target="https://arxiv.org/abs/2501.03575" TargetMode="External" /><Relationship Id="primarySourceG94" Type="http://schemas.openxmlformats.org/officeDocument/2006/relationships/hyperlink" Target="https://arxiv.org/abs/2601.16163" TargetMode="External" /><Relationship Id="primarySourceG95" Type="http://schemas.openxmlformats.org/officeDocument/2006/relationships/hyperlink" Target="https://arxiv.org/abs/2510.10125" TargetMode="External" /><Relationship Id="primarySourceG96" Type="http://schemas.openxmlformats.org/officeDocument/2006/relationships/hyperlink" Target="https://arxiv.org/abs/2411.04983" TargetMode="External" /><Relationship Id="primarySourceG97" Type="http://schemas.openxmlformats.org/officeDocument/2006/relationships/hyperlink" Target="https://arxiv.org/abs/2602.06949" TargetMode="External" /><Relationship Id="primarySourceG98" Type="http://schemas.openxmlformats.org/officeDocument/2006/relationships/hyperlink" Target="https://arxiv.org/abs/2301.04104" TargetMode="External" /><Relationship Id="primarySourceG99" Type="http://schemas.openxmlformats.org/officeDocument/2006/relationships/hyperlink" Target="https://arxiv.org/abs/2505.12705" TargetMode="External" /><Relationship Id="primarySourceG100" Type="http://schemas.openxmlformats.org/officeDocument/2006/relationships/hyperlink" Target="https://arxiv.org/abs/2507.04447" TargetMode="External" /><Relationship Id="primarySourceG101" Type="http://schemas.openxmlformats.org/officeDocument/2006/relationships/hyperlink" Target="https://arxiv.org/abs/2602.15922" TargetMode="External" /><Relationship Id="primarySourceG102" Type="http://schemas.openxmlformats.org/officeDocument/2006/relationships/hyperlink" Target="https://arxiv.org/abs/2505.15659" TargetMode="External" /><Relationship Id="primarySourceG103" Type="http://schemas.openxmlformats.org/officeDocument/2006/relationships/hyperlink" Target="https://arxiv.org/abs/2505.10075" TargetMode="External" /><Relationship Id="primarySourceG104" Type="http://schemas.openxmlformats.org/officeDocument/2006/relationships/hyperlink" Target="https://arxiv.org/abs/2402.15391" TargetMode="External" /><Relationship Id="primarySourceG105" Type="http://schemas.openxmlformats.org/officeDocument/2006/relationships/hyperlink" Target="https://arxiv.org/abs/2508.05635" TargetMode="External" /><Relationship Id="primarySourceG106" Type="http://schemas.openxmlformats.org/officeDocument/2006/relationships/hyperlink" Target="https://arxiv.org/abs/2312.13139" TargetMode="External" /><Relationship Id="primarySourceG107" Type="http://schemas.openxmlformats.org/officeDocument/2006/relationships/hyperlink" Target="https://arxiv.org/abs/2508.17600" TargetMode="External" /><Relationship Id="primarySourceG108" Type="http://schemas.openxmlformats.org/officeDocument/2006/relationships/hyperlink" Target="https://arxiv.org/abs/2605.10942" TargetMode="External" /><Relationship Id="primarySourceG109" Type="http://schemas.openxmlformats.org/officeDocument/2006/relationships/hyperlink" Target="https://arxiv.org/abs/2406.14540" TargetMode="External" /><Relationship Id="primarySourceG110" Type="http://schemas.openxmlformats.org/officeDocument/2006/relationships/hyperlink" Target="https://arxiv.org/abs/2405.15223" TargetMode="External" /><Relationship Id="primarySourceG111" Type="http://schemas.openxmlformats.org/officeDocument/2006/relationships/hyperlink" Target="https://arxiv.org/abs/2505.11528" TargetMode="External" /><Relationship Id="primarySourceG112" Type="http://schemas.openxmlformats.org/officeDocument/2006/relationships/hyperlink" Target="https://arxiv.org/abs/2606.15768" TargetMode="External" /><Relationship Id="primarySourceG113" Type="http://schemas.openxmlformats.org/officeDocument/2006/relationships/hyperlink" Target="https://arxiv.org/abs/2403.08321" TargetMode="External" /><Relationship Id="primarySourceG114" Type="http://schemas.openxmlformats.org/officeDocument/2006/relationships/hyperlink" Target="https://arxiv.org/abs/2504.16464" TargetMode="External" /><Relationship Id="primarySourceG115" Type="http://schemas.openxmlformats.org/officeDocument/2006/relationships/hyperlink" Target="https://arxiv.org/abs/2606.02577" TargetMode="External" /><Relationship Id="primarySourceG116" Type="http://schemas.openxmlformats.org/officeDocument/2006/relationships/hyperlink" Target="https://arxiv.org/abs/2404.12377" TargetMode="External" /><Relationship Id="primarySourceG117" Type="http://schemas.openxmlformats.org/officeDocument/2006/relationships/hyperlink" Target="https://arxiv.org/abs/2603.12553" TargetMode="External" /><Relationship Id="primarySourceG118" Type="http://schemas.openxmlformats.org/officeDocument/2006/relationships/hyperlink" Target="https://arxiv.org/abs/2310.10639" TargetMode="External" /><Relationship Id="primarySourceG119" Type="http://schemas.openxmlformats.org/officeDocument/2006/relationships/hyperlink" Target="https://arxiv.org/abs/2606.26663" TargetMode="External" /><Relationship Id="primarySourceG120" Type="http://schemas.openxmlformats.org/officeDocument/2006/relationships/hyperlink" Target="https://arxiv.org/abs/2310.16828" TargetMode="External" /><Relationship Id="primarySourceG121" Type="http://schemas.openxmlformats.org/officeDocument/2006/relationships/hyperlink" Target="https://arxiv.org/abs/2504.20995" TargetMode="External" /><Relationship Id="primarySourceG122" Type="http://schemas.openxmlformats.org/officeDocument/2006/relationships/hyperlink" Target="https://arxiv.org/abs/2607.07287" TargetMode="External" /><Relationship Id="primarySourceG123" Type="http://schemas.openxmlformats.org/officeDocument/2006/relationships/hyperlink" Target="https://arxiv.org/abs/2302.00111" TargetMode="External" /><Relationship Id="primarySourceG124" Type="http://schemas.openxmlformats.org/officeDocument/2006/relationships/hyperlink" Target="https://arxiv.org/abs/2310.06114" TargetMode="External" /><Relationship Id="primarySourceG125" Type="http://schemas.openxmlformats.org/officeDocument/2006/relationships/hyperlink" Target="https://arxiv.org/abs/2506.09985" TargetMode="External" /><Relationship Id="primarySourceG126" Type="http://schemas.openxmlformats.org/officeDocument/2006/relationships/hyperlink" Target="https://arxiv.org/abs/2310.10625" TargetMode="External" /><Relationship Id="primarySourceG127" Type="http://schemas.openxmlformats.org/officeDocument/2006/relationships/hyperlink" Target="https://arxiv.org/abs/2602.10098" TargetMode="External" /><Relationship Id="primarySourceG128" Type="http://schemas.openxmlformats.org/officeDocument/2006/relationships/hyperlink" Target="https://arxiv.org/abs/2602.02454" TargetMode="External" /><Relationship Id="primarySourceG129" Type="http://schemas.openxmlformats.org/officeDocument/2006/relationships/hyperlink" Target="https://arxiv.org/abs/2505.19017" TargetMode="External" /><Relationship Id="primarySourceG130" Type="http://schemas.openxmlformats.org/officeDocument/2006/relationships/hyperlink" Target="https://arxiv.org/abs/2506.21539" TargetMode="External" /><Relationship Id="primarySourceG131" Type="http://schemas.openxmlformats.org/officeDocument/2006/relationships/hyperlink" Target="https://arxiv.org/abs/2509.22642" TargetMode="External" /><Relationship Id="primarySourceG132" Type="http://schemas.openxmlformats.org/officeDocument/2006/relationships/hyperlink" Target="https://arxiv.org/abs/1912.01603" TargetMode="External" /><Relationship Id="primarySourceG133" Type="http://schemas.openxmlformats.org/officeDocument/2006/relationships/hyperlink" Target="https://arxiv.org/abs/2509.24527" TargetMode="External" /><Relationship Id="primarySourceG134" Type="http://schemas.openxmlformats.org/officeDocument/2006/relationships/hyperlink" Target="https://arxiv.org/abs/2010.02193" TargetMode="External" /><Relationship Id="primarySourceG135" Type="http://schemas.openxmlformats.org/officeDocument/2006/relationships/hyperlink" Target="https://deepmind.google/blog/genie-2-a-large-scale-foundation-world-model/" TargetMode="External" /><Relationship Id="primarySourceG136" Type="http://schemas.openxmlformats.org/officeDocument/2006/relationships/hyperlink" Target="https://deepmind.google/blog/genie-3-a-new-frontier-for-world-models/" TargetMode="External" /><Relationship Id="primarySourceG137" Type="http://schemas.openxmlformats.org/officeDocument/2006/relationships/hyperlink" Target="https://arxiv.org/abs/2301.08243" TargetMode="External" /><Relationship Id="primarySourceG138" Type="http://schemas.openxmlformats.org/officeDocument/2006/relationships/hyperlink" Target="https://arxiv.org/abs/1911.08265" TargetMode="External" /><Relationship Id="primarySourceG139" Type="http://schemas.openxmlformats.org/officeDocument/2006/relationships/hyperlink" Target="https://arxiv.org/abs/2404.13026" TargetMode="External" /><Relationship Id="primarySourceG140" Type="http://schemas.openxmlformats.org/officeDocument/2006/relationships/hyperlink" Target="https://arxiv.org/abs/1811.04551" TargetMode="External" /><Relationship Id="primarySourceG141" Type="http://schemas.openxmlformats.org/officeDocument/2006/relationships/hyperlink" Target="https://openai.com/index/video-generation-models-as-world-simulators/" TargetMode="External" /><Relationship Id="primarySourceG142" Type="http://schemas.openxmlformats.org/officeDocument/2006/relationships/hyperlink" Target="https://github.com/unitreerobotics/unifolm-world-model-action" TargetMode="External" /><Relationship Id="primarySourceG143" Type="http://schemas.openxmlformats.org/officeDocument/2006/relationships/hyperlink" Target="https://arxiv.org/abs/2404.08471" TargetMode="External" /><Relationship Id="primarySourceG144" Type="http://schemas.openxmlformats.org/officeDocument/2006/relationships/hyperlink" Target="https://arxiv.org/abs/1803.10122" TargetMode="External" /><Relationship Id="primarySourceG145" Type="http://schemas.openxmlformats.org/officeDocument/2006/relationships/hyperlink" Target="https://arxiv.org/abs/2503.06669" TargetMode="External" /><Relationship Id="primarySourceG146" Type="http://schemas.openxmlformats.org/officeDocument/2006/relationships/hyperlink" Target="https://arxiv.org/abs/2403.09227" TargetMode="External" /><Relationship Id="primarySourceG147" Type="http://schemas.openxmlformats.org/officeDocument/2006/relationships/hyperlink" Target="https://arxiv.org/abs/2308.12952" TargetMode="External" /><Relationship Id="primarySourceG148" Type="http://schemas.openxmlformats.org/officeDocument/2006/relationships/hyperlink" Target="https://arxiv.org/abs/2112.03227" TargetMode="External" /><Relationship Id="primarySourceG149" Type="http://schemas.openxmlformats.org/officeDocument/2006/relationships/hyperlink" Target="https://arxiv.org/abs/2605.27759" TargetMode="External" /><Relationship Id="primarySourceG150" Type="http://schemas.openxmlformats.org/officeDocument/2006/relationships/hyperlink" Target="https://arxiv.org/abs/2410.24185" TargetMode="External" /><Relationship Id="primarySourceG151" Type="http://schemas.openxmlformats.org/officeDocument/2006/relationships/hyperlink" Target="https://arxiv.org/abs/2403.12945" TargetMode="External" /><Relationship Id="primarySourceG152" Type="http://schemas.openxmlformats.org/officeDocument/2006/relationships/hyperlink" Target="https://arxiv.org/abs/2505.09694" TargetMode="External" /><Relationship Id="primarySourceG153" Type="http://schemas.openxmlformats.org/officeDocument/2006/relationships/hyperlink" Target="https://arxiv.org/abs/2305.12821" TargetMode="External" /><Relationship Id="primarySourceG154" Type="http://schemas.openxmlformats.org/officeDocument/2006/relationships/hyperlink" Target="https://arxiv.org/abs/2410.01345" TargetMode="External" /><Relationship Id="primarySourceG155" Type="http://schemas.openxmlformats.org/officeDocument/2006/relationships/hyperlink" Target="https://arxiv.org/abs/2306.03310" TargetMode="External" /><Relationship Id="primarySourceG156" Type="http://schemas.openxmlformats.org/officeDocument/2006/relationships/hyperlink" Target="https://arxiv.org/abs/2510.13626" TargetMode="External" /><Relationship Id="primarySourceG157" Type="http://schemas.openxmlformats.org/officeDocument/2006/relationships/hyperlink" Target="https://arxiv.org/abs/2606.23686" TargetMode="External" /><Relationship Id="primarySourceG158" Type="http://schemas.openxmlformats.org/officeDocument/2006/relationships/hyperlink" Target="https://arxiv.org/abs/2603.28545" TargetMode="External" /><Relationship Id="primarySourceG159" Type="http://schemas.openxmlformats.org/officeDocument/2006/relationships/hyperlink" Target="https://arxiv.org/abs/2410.00425" TargetMode="External" /><Relationship Id="primarySourceG160" Type="http://schemas.openxmlformats.org/officeDocument/2006/relationships/hyperlink" Target="https://arxiv.org/abs/1910.10897" TargetMode="External" /><Relationship Id="primarySourceG161" Type="http://schemas.openxmlformats.org/officeDocument/2006/relationships/hyperlink" Target="https://arxiv.org/abs/2310.17596" TargetMode="External" /><Relationship Id="primarySourceG162" Type="http://schemas.openxmlformats.org/officeDocument/2006/relationships/hyperlink" Target="https://arxiv.org/abs/2310.08864" TargetMode="External" /><Relationship Id="primarySourceG163" Type="http://schemas.openxmlformats.org/officeDocument/2006/relationships/hyperlink" Target="https://arxiv.org/abs/2512.16881" TargetMode="External" /><Relationship Id="primarySourceG164" Type="http://schemas.openxmlformats.org/officeDocument/2006/relationships/hyperlink" Target="https://arxiv.org/abs/2307.00595" TargetMode="External" /><Relationship Id="primarySourceG165" Type="http://schemas.openxmlformats.org/officeDocument/2006/relationships/hyperlink" Target="https://arxiv.org/abs/1909.12271" TargetMode="External" /><Relationship Id="primarySourceG166" Type="http://schemas.openxmlformats.org/officeDocument/2006/relationships/hyperlink" Target="https://arxiv.org/abs/2506.18123" TargetMode="External" /><Relationship Id="primarySourceG167" Type="http://schemas.openxmlformats.org/officeDocument/2006/relationships/hyperlink" Target="https://arxiv.org/abs/2406.02523" TargetMode="External" /><Relationship Id="primarySourceG168" Type="http://schemas.openxmlformats.org/officeDocument/2006/relationships/hyperlink" Target="https://arxiv.org/abs/2603.04356" TargetMode="External" /><Relationship Id="primarySourceG169" Type="http://schemas.openxmlformats.org/officeDocument/2006/relationships/hyperlink" Target="https://arxiv.org/abs/2108.03298" TargetMode="External" /><Relationship Id="primarySourceG170" Type="http://schemas.openxmlformats.org/officeDocument/2006/relationships/hyperlink" Target="https://arxiv.org/abs/2412.13877" TargetMode="External" /><Relationship Id="primarySourceG171" Type="http://schemas.openxmlformats.org/officeDocument/2006/relationships/hyperlink" Target="https://arxiv.org/abs/2506.18088" TargetMode="External" /><Relationship Id="primarySourceG172" Type="http://schemas.openxmlformats.org/officeDocument/2006/relationships/hyperlink" Target="https://arxiv.org/abs/2405.05941" TargetMode="External" /><Relationship Id="primarySourceG173" Type="http://schemas.openxmlformats.org/officeDocument/2006/relationships/hyperlink" Target="https://arxiv.org/abs/2402.08191" TargetMode="External" /><Relationship Id="primarySourceG174" Type="http://schemas.openxmlformats.org/officeDocument/2006/relationships/hyperlink" Target="https://arxiv.org/abs/2603.13966" TargetMode="External" /><Relationship Id="primarySourceG175" Type="http://schemas.openxmlformats.org/officeDocument/2006/relationships/hyperlink" Target="https://arxiv.org/abs/2412.18194" TargetMode="External" /><Relationship Id="primarySourceG176" Type="http://schemas.openxmlformats.org/officeDocument/2006/relationships/hyperlink" Target="https://arxiv.org/abs/2602.08971" TargetMode="External" /><Relationship Id="primarySourceG177" Type="http://schemas.openxmlformats.org/officeDocument/2006/relationships/hyperlink" Target="https://arxiv.org/abs/2605.17912" TargetMode="External" /><Relationship Id="primarySourceG178" Type="http://schemas.openxmlformats.org/officeDocument/2006/relationships/hyperlink" Target="https://arxiv.org/abs/2110.07058" TargetMode="External" /><Relationship Id="primarySourceG179" Type="http://schemas.openxmlformats.org/officeDocument/2006/relationships/hyperlink" Target="https://arxiv.org/abs/2602.22818" TargetMode="External" /><Relationship Id="primarySourceG180" Type="http://schemas.openxmlformats.org/officeDocument/2006/relationships/hyperlink" Target="https://arxiv.org/abs/2501.09038" TargetMode="External" /><Relationship Id="primarySourceG181" Type="http://schemas.openxmlformats.org/officeDocument/2006/relationships/hyperlink" Target="https://arxiv.org/abs/2503.21755" TargetMode="External" /><Relationship Id="primarySourceG182" Type="http://schemas.openxmlformats.org/officeDocument/2006/relationships/hyperlink" Target="https://github.com/allenai/vla-evaluation-harness/tree/v0.4.0" TargetMode="External" /><Relationship Id="primarySourceG183" Type="http://schemas.openxmlformats.org/officeDocument/2006/relationships/hyperlink" Target="https://arxiv.org/abs/2502.20694" TargetMode="External" /><Relationship Id="primarySourceG184" Type="http://schemas.openxmlformats.org/officeDocument/2006/relationships/hyperlink" Target="https://arxiv.org/abs/2510.16732" TargetMode="External" /><Relationship Id="primarySourceG185" Type="http://schemas.openxmlformats.org/officeDocument/2006/relationships/hyperlink" Target="https://proceedings.mlr.press/v15/ross11a/ross11a.pdf" TargetMode="External" /><Relationship Id="primarySourceG186" Type="http://schemas.openxmlformats.org/officeDocument/2006/relationships/hyperlink" Target="https://arxiv.org/abs/2511.02097" TargetMode="External" /><Relationship Id="primarySourceG187" Type="http://schemas.openxmlformats.org/officeDocument/2006/relationships/hyperlink" Target="https://arxiv.org/abs/2510.24795" TargetMode="External" /><Relationship Id="primarySourceG188" Type="http://schemas.openxmlformats.org/officeDocument/2006/relationships/hyperlink" Target="https://doi.org/10.36227/techrxiv.176531955.54563920/v1" TargetMode="External" /><Relationship Id="primarySourceG189" Type="http://schemas.openxmlformats.org/officeDocument/2006/relationships/hyperlink" Target="https://arxiv.org/abs/2507.01925" TargetMode="External" /><Relationship Id="primarySourceG190" Type="http://schemas.openxmlformats.org/officeDocument/2006/relationships/hyperlink" Target="https://openaccess.thecvf.com/content/ICCV2025W/WDFM-AD/html/Jiang_A_Survey_on_Vision-Language-Action_Models_for_Autonomous_Driving_ICCVW_2025_paper.html" TargetMode="External" /><Relationship Id="primarySourceG191" Type="http://schemas.openxmlformats.org/officeDocument/2006/relationships/hyperlink" Target="https://arxiv.org/abs/2405.14093" TargetMode="External" /><Relationship Id="primarySourceG192" Type="http://schemas.openxmlformats.org/officeDocument/2006/relationships/hyperlink" Target="https://www.nature.com/articles/s41586-024-07566-y" TargetMode="External" /><Relationship Id="primarySourceG193" Type="http://schemas.openxmlformats.org/officeDocument/2006/relationships/hyperlink" Target="https://arxiv.org/abs/1903.11199" TargetMode="External" /><Relationship Id="primarySourceG194" Type="http://schemas.openxmlformats.org/officeDocument/2006/relationships/hyperlink" Target="https://arxiv.org/abs/2509.20021" TargetMode="External" /><Relationship Id="primarySourceG195" Type="http://schemas.openxmlformats.org/officeDocument/2006/relationships/hyperlink" Target="https://arxiv.org/abs/2503.03464" TargetMode="External" /><Relationship Id="primarySourceG196" Type="http://schemas.openxmlformats.org/officeDocument/2006/relationships/hyperlink" Target="https://arxiv.org/abs/1709.07523" TargetMode="External" /><Relationship Id="primarySourceG197" Type="http://schemas.openxmlformats.org/officeDocument/2006/relationships/hyperlink" Target="https://arxiv.org/abs/2508.13073" TargetMode="External" /><Relationship Id="primarySourceG198" Type="http://schemas.openxmlformats.org/officeDocument/2006/relationships/hyperlink" Target="https://doi.org/10.1016/j.inffus.2025.104062" TargetMode="External" /><Relationship Id="primarySourceG199" Type="http://schemas.openxmlformats.org/officeDocument/2006/relationships/hyperlink" Target="https://arxiv.org/abs/2509.19012" TargetMode="External" /><Relationship Id="primarySourceG200" Type="http://schemas.openxmlformats.org/officeDocument/2006/relationships/hyperlink" Target="https://arxiv.org/abs/2307.01928" TargetMode="External" /><Relationship Id="primarySourceG201" Type="http://schemas.openxmlformats.org/officeDocument/2006/relationships/hyperlink" Target="https://doi.org/10.1136/bmj.n71" TargetMode="External" /><Relationship Id="primarySourceG202" Type="http://schemas.openxmlformats.org/officeDocument/2006/relationships/hyperlink" Target="https://doi.org/10.1145/3746449" TargetMode="External" /><Relationship Id="primarySourceG203" Type="http://schemas.openxmlformats.org/officeDocument/2006/relationships/hyperlink" Target="https://arxiv.org/abs/2505.04769" TargetMode="External" /><Relationship Id="primarySourceG204" Type="http://schemas.openxmlformats.org/officeDocument/2006/relationships/hyperlink" Target="https://arxiv.org/abs/2510.07077" TargetMode="External" /><Relationship Id="primarySourceG205" Type="http://schemas.openxmlformats.org/officeDocument/2006/relationships/hyperlink" Target="https://arxiv.org/abs/2605.12090" TargetMode="External" /><Relationship Id="primarySourceG206" Type="http://schemas.openxmlformats.org/officeDocument/2006/relationships/hyperlink" Target="https://arxiv.org/abs/2606.20781" TargetMode="External" /><Relationship Id="primarySourceG207" Type="http://schemas.openxmlformats.org/officeDocument/2006/relationships/hyperlink" Target="https://arxiv.org/abs/2605.00080" TargetMode="External" /><Relationship Id="primarySourceG208" Type="http://schemas.openxmlformats.org/officeDocument/2006/relationships/hyperlink" Target="https://arxiv.org/abs/2606.00113" TargetMode="External" /><Relationship Id="primarySourceG209" Type="http://schemas.openxmlformats.org/officeDocument/2006/relationships/hyperlink" Target="https://arxiv.org/abs/2412.15109" TargetMode="External" /><Relationship Id="primarySourceG210" Type="http://schemas.openxmlformats.org/officeDocument/2006/relationships/hyperlink" Target="https://arxiv.org/abs/2412.14803" TargetMode="External" /><Relationship Id="primarySourceG211" Type="http://schemas.openxmlformats.org/officeDocument/2006/relationships/hyperlink" Target="https://arxiv.org/abs/2504.02792" TargetMode="External" /><Relationship Id="primarySourceG212" Type="http://schemas.openxmlformats.org/officeDocument/2006/relationships/hyperlink" Target="https://arxiv.org/abs/2606.09630" TargetMode="External" /><Relationship Id="primarySourceG213" Type="http://schemas.openxmlformats.org/officeDocument/2006/relationships/hyperlink" Target="https://arxiv.org/abs/2103.00589" TargetMode="External" /><Relationship Id="primarySourceG214" Type="http://schemas.openxmlformats.org/officeDocument/2006/relationships/hyperlink" Target="https://arxiv.org/abs/2105.14074" TargetMode="External" /><Relationship Id="primarySourceG215" Type="http://schemas.openxmlformats.org/officeDocument/2006/relationships/hyperlink" Target="https://arxiv.org/abs/2203.09634" TargetMode="External" /></Relationships>
</file>

<file path=xl/worksheets/_rels/sheet15.xml.rels><?xml version='1.0' encoding='utf-8'?>
<Relationships xmlns="http://schemas.openxmlformats.org/package/2006/relationships"><Relationship Id="Rb74435d8328e41ab" Type="http://schemas.openxmlformats.org/officeDocument/2006/relationships/table" Target="../tables/table12.xml" /><Relationship Id="primarySourceH2" Type="http://schemas.openxmlformats.org/officeDocument/2006/relationships/hyperlink" Target="https://arxiv.org/abs/2212.06817" TargetMode="External" /><Relationship Id="primarySourceH3" Type="http://schemas.openxmlformats.org/officeDocument/2006/relationships/hyperlink" Target="https://arxiv.org/abs/2307.15818" TargetMode="External" /><Relationship Id="primarySourceH4" Type="http://schemas.openxmlformats.org/officeDocument/2006/relationships/hyperlink" Target="https://arxiv.org/abs/2310.08864" TargetMode="External" /><Relationship Id="primarySourceH5" Type="http://schemas.openxmlformats.org/officeDocument/2006/relationships/hyperlink" Target="https://arxiv.org/abs/2406.09246" TargetMode="External" /><Relationship Id="primarySourceH6" Type="http://schemas.openxmlformats.org/officeDocument/2006/relationships/hyperlink" Target="https://arxiv.org/abs/2501.09747" TargetMode="External" /><Relationship Id="primarySourceH7" Type="http://schemas.openxmlformats.org/officeDocument/2006/relationships/hyperlink" Target="https://arxiv.org/abs/2502.19645" TargetMode="External" /><Relationship Id="primarySourceH8" Type="http://schemas.openxmlformats.org/officeDocument/2006/relationships/hyperlink" Target="https://arxiv.org/abs/2405.12213" TargetMode="External" /><Relationship Id="primarySourceH9" Type="http://schemas.openxmlformats.org/officeDocument/2006/relationships/hyperlink" Target="https://arxiv.org/abs/2410.24164" TargetMode="External" /><Relationship Id="primarySourceH10" Type="http://schemas.openxmlformats.org/officeDocument/2006/relationships/hyperlink" Target="https://arxiv.org/abs/2410.07864" TargetMode="External" /><Relationship Id="primarySourceH11" Type="http://schemas.openxmlformats.org/officeDocument/2006/relationships/hyperlink" Target="https://arxiv.org/abs/2503.14734" TargetMode="External" /><Relationship Id="primarySourceH12" Type="http://schemas.openxmlformats.org/officeDocument/2006/relationships/hyperlink" Target="https://huggingface.co/nvidia/GR00T-N1.7-3B" TargetMode="External" /><Relationship Id="primarySourceH13" Type="http://schemas.openxmlformats.org/officeDocument/2006/relationships/hyperlink" Target="https://arxiv.org/abs/2504.16054" TargetMode="External" /><Relationship Id="primarySourceH14" Type="http://schemas.openxmlformats.org/officeDocument/2006/relationships/hyperlink" Target="https://arxiv.org/abs/2604.15483" TargetMode="External" /><Relationship Id="primarySourceH15" Type="http://schemas.openxmlformats.org/officeDocument/2006/relationships/hyperlink" Target="https://arxiv.org/abs/2607.06403" TargetMode="External" /><Relationship Id="primarySourceH16" Type="http://schemas.openxmlformats.org/officeDocument/2006/relationships/hyperlink" Target="https://arxiv.org/abs/2410.06158" TargetMode="External" /><Relationship Id="primarySourceH17" Type="http://schemas.openxmlformats.org/officeDocument/2006/relationships/hyperlink" Target="https://arxiv.org/abs/2503.20020" TargetMode="External" /><Relationship Id="primarySourceH18" Type="http://schemas.openxmlformats.org/officeDocument/2006/relationships/hyperlink" Target="https://www.figure.ai/news/helix" TargetMode="External" /><Relationship Id="primarySourceH19" Type="http://schemas.openxmlformats.org/officeDocument/2006/relationships/hyperlink" Target="https://www.figure.ai/news/helix-02" TargetMode="External" /><Relationship Id="primarySourceH20" Type="http://schemas.openxmlformats.org/officeDocument/2006/relationships/hyperlink" Target="https://arxiv.org/abs/2502.19417" TargetMode="External" /><Relationship Id="primarySourceH21" Type="http://schemas.openxmlformats.org/officeDocument/2006/relationships/hyperlink" Target="https://arxiv.org/abs/2407.08693" TargetMode="External" /><Relationship Id="primarySourceH22" Type="http://schemas.openxmlformats.org/officeDocument/2006/relationships/hyperlink" Target="https://arxiv.org/abs/2503.22020" TargetMode="External" /><Relationship Id="primarySourceH23" Type="http://schemas.openxmlformats.org/officeDocument/2006/relationships/hyperlink" Target="https://arxiv.org/abs/2506.00411" TargetMode="External" /><Relationship Id="primarySourceH24" Type="http://schemas.openxmlformats.org/officeDocument/2006/relationships/hyperlink" Target="https://arxiv.org/abs/2510.03342" TargetMode="External" /><Relationship Id="primarySourceH25" Type="http://schemas.openxmlformats.org/officeDocument/2006/relationships/hyperlink" Target="https://arxiv.org/abs/2403.09631" TargetMode="External" /><Relationship Id="primarySourceH26" Type="http://schemas.openxmlformats.org/officeDocument/2006/relationships/hyperlink" Target="https://arxiv.org/abs/2501.15830" TargetMode="External" /><Relationship Id="primarySourceH27" Type="http://schemas.openxmlformats.org/officeDocument/2006/relationships/hyperlink" Target="https://arxiv.org/abs/2505.03233" TargetMode="External" /><Relationship Id="primarySourceH28" Type="http://schemas.openxmlformats.org/officeDocument/2006/relationships/hyperlink" Target="https://arxiv.org/abs/2503.08950" TargetMode="External" /><Relationship Id="primarySourceH29" Type="http://schemas.openxmlformats.org/officeDocument/2006/relationships/hyperlink" Target="https://arxiv.org/abs/2509.09674" TargetMode="External" /><Relationship Id="primarySourceH30" Type="http://schemas.openxmlformats.org/officeDocument/2006/relationships/hyperlink" Target="https://arxiv.org/abs/2505.17016" TargetMode="External" /><Relationship Id="primarySourceH31" Type="http://schemas.openxmlformats.org/officeDocument/2006/relationships/hyperlink" Target="https://arxiv.org/abs/2409.16578" TargetMode="External" /><Relationship Id="primarySourceH32" Type="http://schemas.openxmlformats.org/officeDocument/2006/relationships/hyperlink" Target="https://arxiv.org/abs/2409.12514" TargetMode="External" /><Relationship Id="primarySourceH33" Type="http://schemas.openxmlformats.org/officeDocument/2006/relationships/hyperlink" Target="https://arxiv.org/abs/2506.01844" TargetMode="External" /><Relationship Id="primarySourceH34" Type="http://schemas.openxmlformats.org/officeDocument/2006/relationships/hyperlink" Target="https://arxiv.org/abs/2506.07530" TargetMode="External" /><Relationship Id="primarySourceH35" Type="http://schemas.openxmlformats.org/officeDocument/2006/relationships/hyperlink" Target="https://arxiv.org/abs/2406.04339" TargetMode="External" /><Relationship Id="primarySourceH36" Type="http://schemas.openxmlformats.org/officeDocument/2006/relationships/hyperlink" Target="https://arxiv.org/abs/1803.10122" TargetMode="External" /><Relationship Id="primarySourceH37" Type="http://schemas.openxmlformats.org/officeDocument/2006/relationships/hyperlink" Target="https://arxiv.org/abs/1811.04551" TargetMode="External" /><Relationship Id="primarySourceH38" Type="http://schemas.openxmlformats.org/officeDocument/2006/relationships/hyperlink" Target="https://arxiv.org/abs/2301.04104" TargetMode="External" /><Relationship Id="primarySourceH39" Type="http://schemas.openxmlformats.org/officeDocument/2006/relationships/hyperlink" Target="https://arxiv.org/abs/2310.16828" TargetMode="External" /><Relationship Id="primarySourceH40" Type="http://schemas.openxmlformats.org/officeDocument/2006/relationships/hyperlink" Target="https://arxiv.org/abs/2509.24527" TargetMode="External" /><Relationship Id="primarySourceH41" Type="http://schemas.openxmlformats.org/officeDocument/2006/relationships/hyperlink" Target="https://arxiv.org/abs/2302.00111" TargetMode="External" /><Relationship Id="primarySourceH42" Type="http://schemas.openxmlformats.org/officeDocument/2006/relationships/hyperlink" Target="https://arxiv.org/abs/2310.06114" TargetMode="External" /><Relationship Id="primarySourceH43" Type="http://schemas.openxmlformats.org/officeDocument/2006/relationships/hyperlink" Target="https://arxiv.org/abs/2312.13139" TargetMode="External" /><Relationship Id="primarySourceH44" Type="http://schemas.openxmlformats.org/officeDocument/2006/relationships/hyperlink" Target="https://arxiv.org/abs/2501.03575" TargetMode="External" /><Relationship Id="primarySourceH45" Type="http://schemas.openxmlformats.org/officeDocument/2006/relationships/hyperlink" Target="https://deepmind.google/blog/genie-3-a-new-frontier-for-world-models/" TargetMode="External" /><Relationship Id="primarySourceH46" Type="http://schemas.openxmlformats.org/officeDocument/2006/relationships/hyperlink" Target="https://arxiv.org/abs/2508.05635" TargetMode="External" /><Relationship Id="primarySourceH47" Type="http://schemas.openxmlformats.org/officeDocument/2006/relationships/hyperlink" Target="https://arxiv.org/abs/2506.09985" TargetMode="External" /><Relationship Id="primarySourceH48" Type="http://schemas.openxmlformats.org/officeDocument/2006/relationships/hyperlink" Target="https://arxiv.org/abs/2506.09985" TargetMode="External" /><Relationship Id="primarySourceH49" Type="http://schemas.openxmlformats.org/officeDocument/2006/relationships/hyperlink" Target="https://arxiv.org/abs/2602.10098" TargetMode="External" /><Relationship Id="primarySourceH50" Type="http://schemas.openxmlformats.org/officeDocument/2006/relationships/hyperlink" Target="https://arxiv.org/abs/2606.15768" TargetMode="External" /><Relationship Id="primarySourceH51" Type="http://schemas.openxmlformats.org/officeDocument/2006/relationships/hyperlink" Target="https://arxiv.org/abs/2504.20995" TargetMode="External" /><Relationship Id="primarySourceH52" Type="http://schemas.openxmlformats.org/officeDocument/2006/relationships/hyperlink" Target="https://arxiv.org/abs/2508.17600" TargetMode="External" /><Relationship Id="primarySourceH53" Type="http://schemas.openxmlformats.org/officeDocument/2006/relationships/hyperlink" Target="https://arxiv.org/abs/2505.12705" TargetMode="External" /><Relationship Id="primarySourceH54" Type="http://schemas.openxmlformats.org/officeDocument/2006/relationships/hyperlink" Target="https://arxiv.org/abs/2508.05635" TargetMode="External" /><Relationship Id="primarySourceH55" Type="http://schemas.openxmlformats.org/officeDocument/2006/relationships/hyperlink" Target="https://arxiv.org/abs/2505.19017" TargetMode="External" /><Relationship Id="primarySourceH56" Type="http://schemas.openxmlformats.org/officeDocument/2006/relationships/hyperlink" Target="https://github.com/unitreerobotics/unifolm-world-model-action" TargetMode="External" /><Relationship Id="primarySourceH57" Type="http://schemas.openxmlformats.org/officeDocument/2006/relationships/hyperlink" Target="https://arxiv.org/abs/2602.02454" TargetMode="External" /><Relationship Id="primarySourceH58" Type="http://schemas.openxmlformats.org/officeDocument/2006/relationships/hyperlink" Target="https://arxiv.org/abs/2602.06949" TargetMode="External" /><Relationship Id="primarySourceH59" Type="http://schemas.openxmlformats.org/officeDocument/2006/relationships/hyperlink" Target="https://arxiv.org/abs/2506.21539" TargetMode="External" /><Relationship Id="primarySourceH60" Type="http://schemas.openxmlformats.org/officeDocument/2006/relationships/hyperlink" Target="https://arxiv.org/abs/2505.15659" TargetMode="External" /><Relationship Id="primarySourceH61" Type="http://schemas.openxmlformats.org/officeDocument/2006/relationships/hyperlink" Target="https://arxiv.org/abs/2507.04447" TargetMode="External" /><Relationship Id="primarySourceH62" Type="http://schemas.openxmlformats.org/officeDocument/2006/relationships/hyperlink" Target="https://arxiv.org/abs/2601.16163" TargetMode="External" /><Relationship Id="primarySourceH63" Type="http://schemas.openxmlformats.org/officeDocument/2006/relationships/hyperlink" Target="https://arxiv.org/abs/2602.15922" TargetMode="External" /><Relationship Id="primarySourceH64" Type="http://schemas.openxmlformats.org/officeDocument/2006/relationships/hyperlink" Target="https://arxiv.org/abs/2603.12553" TargetMode="External" /><Relationship Id="primarySourceH65" Type="http://schemas.openxmlformats.org/officeDocument/2006/relationships/hyperlink" Target="https://arxiv.org/abs/2605.10942" TargetMode="External" /><Relationship Id="primarySourceH66" Type="http://schemas.openxmlformats.org/officeDocument/2006/relationships/hyperlink" Target="https://arxiv.org/abs/2306.03310" TargetMode="External" /><Relationship Id="primarySourceH67" Type="http://schemas.openxmlformats.org/officeDocument/2006/relationships/hyperlink" Target="https://arxiv.org/abs/2510.13626" TargetMode="External" /><Relationship Id="primarySourceH68" Type="http://schemas.openxmlformats.org/officeDocument/2006/relationships/hyperlink" Target="https://arxiv.org/abs/2510.13626" TargetMode="External" /><Relationship Id="primarySourceH69" Type="http://schemas.openxmlformats.org/officeDocument/2006/relationships/hyperlink" Target="https://arxiv.org/abs/2405.05941" TargetMode="External" /><Relationship Id="primarySourceH70" Type="http://schemas.openxmlformats.org/officeDocument/2006/relationships/hyperlink" Target="https://arxiv.org/abs/2112.03227" TargetMode="External" /><Relationship Id="primarySourceH71" Type="http://schemas.openxmlformats.org/officeDocument/2006/relationships/hyperlink" Target="https://arxiv.org/abs/1909.12271" TargetMode="External" /><Relationship Id="primarySourceH72" Type="http://schemas.openxmlformats.org/officeDocument/2006/relationships/hyperlink" Target="https://arxiv.org/abs/2410.00425" TargetMode="External" /><Relationship Id="primarySourceH73" Type="http://schemas.openxmlformats.org/officeDocument/2006/relationships/hyperlink" Target="https://arxiv.org/abs/2406.02523" TargetMode="External" /><Relationship Id="primarySourceH74" Type="http://schemas.openxmlformats.org/officeDocument/2006/relationships/hyperlink" Target="https://arxiv.org/abs/1910.10897" TargetMode="External" /><Relationship Id="primarySourceH75" Type="http://schemas.openxmlformats.org/officeDocument/2006/relationships/hyperlink" Target="https://arxiv.org/abs/2506.18123" TargetMode="External" /><Relationship Id="primarySourceH76" Type="http://schemas.openxmlformats.org/officeDocument/2006/relationships/hyperlink" Target="https://arxiv.org/abs/2310.08864" TargetMode="External" /><Relationship Id="primarySourceH77" Type="http://schemas.openxmlformats.org/officeDocument/2006/relationships/hyperlink" Target="https://arxiv.org/abs/2403.12945" TargetMode="External" /><Relationship Id="primarySourceH78" Type="http://schemas.openxmlformats.org/officeDocument/2006/relationships/hyperlink" Target="https://arxiv.org/abs/2308.12952" TargetMode="External" /><Relationship Id="primarySourceH79" Type="http://schemas.openxmlformats.org/officeDocument/2006/relationships/hyperlink" Target="https://arxiv.org/abs/2503.06669" TargetMode="External" /><Relationship Id="primarySourceH80" Type="http://schemas.openxmlformats.org/officeDocument/2006/relationships/hyperlink" Target="https://arxiv.org/abs/2502.20694" TargetMode="External" /><Relationship Id="primarySourceH81" Type="http://schemas.openxmlformats.org/officeDocument/2006/relationships/hyperlink" Target="https://arxiv.org/abs/2501.09038" TargetMode="External" /><Relationship Id="primarySourceH82" Type="http://schemas.openxmlformats.org/officeDocument/2006/relationships/hyperlink" Target="https://arxiv.org/abs/2503.21755" TargetMode="External" /><Relationship Id="primarySourceH83" Type="http://schemas.openxmlformats.org/officeDocument/2006/relationships/hyperlink" Target="https://arxiv.org/abs/2508.05635" TargetMode="External" /><Relationship Id="primarySourceH84" Type="http://schemas.openxmlformats.org/officeDocument/2006/relationships/hyperlink" Target="https://arxiv.org/abs/2602.08971" TargetMode="External" /><Relationship Id="primarySourceH85" Type="http://schemas.openxmlformats.org/officeDocument/2006/relationships/hyperlink" Target="https://arxiv.org/abs/2605.17912" TargetMode="External" /><Relationship Id="primarySourceH86" Type="http://schemas.openxmlformats.org/officeDocument/2006/relationships/hyperlink" Target="https://arxiv.org/abs/2603.28545" TargetMode="External" /><Relationship Id="primarySourceH87" Type="http://schemas.openxmlformats.org/officeDocument/2006/relationships/hyperlink" Target="https://arxiv.org/abs/2310.08864" TargetMode="External" /><Relationship Id="primarySourceH88" Type="http://schemas.openxmlformats.org/officeDocument/2006/relationships/hyperlink" Target="https://arxiv.org/abs/2403.12945" TargetMode="External" /><Relationship Id="primarySourceH89" Type="http://schemas.openxmlformats.org/officeDocument/2006/relationships/hyperlink" Target="https://arxiv.org/abs/2308.12952" TargetMode="External" /><Relationship Id="primarySourceH90" Type="http://schemas.openxmlformats.org/officeDocument/2006/relationships/hyperlink" Target="https://arxiv.org/abs/2503.06669" TargetMode="External" /><Relationship Id="primarySourceH91" Type="http://schemas.openxmlformats.org/officeDocument/2006/relationships/hyperlink" Target="https://arxiv.org/abs/2602.22818" TargetMode="External" /><Relationship Id="primarySourceH92" Type="http://schemas.openxmlformats.org/officeDocument/2006/relationships/hyperlink" Target="https://arxiv.org/abs/2110.07058" TargetMode="External" /><Relationship Id="primarySourceH93" Type="http://schemas.openxmlformats.org/officeDocument/2006/relationships/hyperlink" Target="https://arxiv.org/abs/2506.09985" TargetMode="External" /><Relationship Id="primarySourceH94" Type="http://schemas.openxmlformats.org/officeDocument/2006/relationships/hyperlink" Target="https://arxiv.org/abs/2505.12705" TargetMode="External" /><Relationship Id="primarySourceH95" Type="http://schemas.openxmlformats.org/officeDocument/2006/relationships/hyperlink" Target="https://arxiv.org/abs/2412.15109" TargetMode="External" /><Relationship Id="primarySourceH96" Type="http://schemas.openxmlformats.org/officeDocument/2006/relationships/hyperlink" Target="https://arxiv.org/abs/2412.14803" TargetMode="External" /><Relationship Id="primarySourceH97" Type="http://schemas.openxmlformats.org/officeDocument/2006/relationships/hyperlink" Target="https://arxiv.org/abs/2504.02792" TargetMode="External" /></Relationships>
</file>

<file path=xl/worksheets/_rels/sheet16.xml.rels><?xml version='1.0' encoding='utf-8'?>
<Relationships xmlns="http://schemas.openxmlformats.org/package/2006/relationships"><Relationship Id="R25e95ac40a834e44" Type="http://schemas.openxmlformats.org/officeDocument/2006/relationships/table" Target="../tables/table13.xml" /></Relationships>
</file>

<file path=xl/worksheets/sheet1.xml><?xml version="1.0" encoding="utf-8"?>
<x:worksheet xmlns:x="http://schemas.openxmlformats.org/spreadsheetml/2006/main">
  <x:sheetViews>
    <x:sheetView showGridLines="0" workbookViewId="0"/>
  </x:sheetViews>
  <x:sheetFormatPr defaultRowHeight="15"/>
  <x:cols>
    <x:col min="1" max="1" width="26.110000610351562" hidden="0" customWidth="1"/>
    <x:col min="2" max="2" width="68.88999938964844" hidden="0" customWidth="1"/>
    <x:col min="3" max="3" width="9.4399995803833" hidden="0" customWidth="1"/>
    <x:col min="4" max="4" width="9.4399995803833" hidden="0" customWidth="1"/>
    <x:col min="5" max="5" width="9.4399995803833" hidden="0" customWidth="1"/>
    <x:col min="6" max="6" width="9.4399995803833" hidden="0" customWidth="1"/>
    <x:col min="7" max="7" width="9.4399995803833" hidden="0" customWidth="1"/>
    <x:col min="8" max="8" width="9.4399995803833" hidden="0" customWidth="1"/>
  </x:cols>
  <x:sheetData>
    <x:row r="1" ht="28.5" customHeight="1">
      <x:c r="A1" s="3" t="str">
        <x:v>Verified-only CSV audit, figures, and source data</x:v>
      </x:c>
      <x:c r="B1" s="3"/>
      <x:c r="C1" s="3"/>
      <x:c r="D1" s="3"/>
      <x:c r="E1" s="3"/>
      <x:c r="F1" s="3"/>
      <x:c r="G1" s="3"/>
      <x:c r="H1" s="3"/>
    </x:row>
    <x:row r="3">
      <x:c r="A3" s="10" t="str">
        <x:v>Metric</x:v>
      </x:c>
      <x:c r="B3" s="10" t="str">
        <x:v>Value</x:v>
      </x:c>
    </x:row>
    <x:row r="4">
      <x:c r="A4" s="11" t="str">
        <x:v>Submitted CSV rows audited</x:v>
      </x:c>
      <x:c r="B4" s="12" t="n">
        <x:f>SUM('Audit Summary'!B2:B4)</x:f>
        <x:v>147</x:v>
      </x:c>
    </x:row>
    <x:row r="5">
      <x:c r="A5" s="11" t="str">
        <x:v>Input rows retained or corrected</x:v>
      </x:c>
      <x:c r="B5" s="12" t="n">
        <x:f>SUM('Audit Summary'!C2:C4)</x:f>
        <x:v>6</x:v>
      </x:c>
    </x:row>
    <x:row r="6">
      <x:c r="A6" s="11" t="str">
        <x:v>Input rows excluded</x:v>
      </x:c>
      <x:c r="B6" s="12" t="n">
        <x:f>SUM('Audit Summary'!D2:D4)</x:f>
        <x:v>141</x:v>
      </x:c>
    </x:row>
    <x:row r="7">
      <x:c r="A7" s="11" t="str">
        <x:v>Verified data-scale output records</x:v>
      </x:c>
      <x:c r="B7" s="12" t="n">
        <x:f>COUNTA('Verified Data Scale'!A2:A8)</x:f>
        <x:v>7</x:v>
      </x:c>
    </x:row>
    <x:row r="8">
      <x:c r="A8" s="11" t="str">
        <x:v>Verified real-robot task records</x:v>
      </x:c>
      <x:c r="B8" s="12" t="n">
        <x:f>COUNTA('World-Gymnast'!A2:A5)</x:f>
        <x:v>4</x:v>
      </x:c>
    </x:row>
    <x:row r="9">
      <x:c r="A9" s="11" t="str">
        <x:v>Submitted columns assessed</x:v>
      </x:c>
      <x:c r="B9" s="12" t="n">
        <x:f>COUNTA('Column Decisions'!A2:A52)</x:f>
        <x:v>51</x:v>
      </x:c>
    </x:row>
    <x:row r="11">
      <x:c r="A11" s="20" t="str">
        <x:v>Decision</x:v>
      </x:c>
      <x:c r="B11" s="20" t="str">
        <x:v>Rationale</x:v>
      </x:c>
    </x:row>
    <x:row r="12">
      <x:c r="A12" s="21" t="str">
        <x:v>Exclude corpus_master.csv</x:v>
      </x:c>
      <x:c r="B12" s="22" t="str">
        <x:v>All 106 rows are manuscript-derived and lack row-level primary-source URLs, locators, and field-level verification.</x:v>
      </x:c>
    </x:row>
    <x:row r="13">
      <x:c r="A13" s="21" t="str">
        <x:v>Exclude evidence_edges.csv</x:v>
      </x:c>
      <x:c r="B13" s="22" t="str">
        <x:v>All 34 edges are manuscript-derived; mixed coding semantics and missing source locators prevent publication-authentic use.</x:v>
      </x:c>
    </x:row>
    <x:row r="14">
      <x:c r="A14" s="21" t="str">
        <x:v>Remove RT-1 hours</x:v>
      </x:c>
      <x:c r="B14" s="22" t="str">
        <x:v>The submitted value is an episode-duration assumption, not a source-reported hour measurement.</x:v>
      </x:c>
    </x:row>
    <x:row r="15">
      <x:c r="A15" s="21" t="str">
        <x:v>Correct bound semantics</x:v>
      </x:c>
      <x:c r="B15" s="22" t="str">
        <x:v>Cosmos is approximate; V-JEPA 2 and pi_0 are lower bounds; V-JEPA 2-AC is an upper bound.</x:v>
      </x:c>
    </x:row>
    <x:row r="16">
      <x:c r="A16" s="21" t="str">
        <x:v>Correct Dreamer 4</x:v>
      </x:c>
      <x:c r="B16" s="22" t="str">
        <x:v>Use the exact 2,541-hour VPT pool and represent the 100-hour paired-action condition separately.</x:v>
      </x:c>
    </x:row>
    <x:row r="17">
      <x:c r="A17" s="21" t="str">
        <x:v>Retain two figure families</x:v>
      </x:c>
      <x:c r="B17" s="22" t="str">
        <x:v>Keep the qualified scale plot and the source-reported World-Gymnast real-robot comparison; omit unsupported ranking and evidence-count plots.</x:v>
      </x:c>
    </x:row>
    <x:row r="19">
      <x:c r="A19" s="24" t="str">
        <x:v>Interpretation warning</x:v>
      </x:c>
      <x:c r="B19" s="24"/>
      <x:c r="C19" s="24"/>
      <x:c r="D19" s="24"/>
      <x:c r="E19" s="24"/>
      <x:c r="F19" s="24"/>
      <x:c r="G19" s="24"/>
      <x:c r="H19" s="24"/>
    </x:row>
    <x:row r="20">
      <x:c r="A20" s="19" t="str">
        <x:v>The scale values describe different measurement scopes (raw collections, pretraining pools, released robot data, and experimental subsets). They must not be interpreted as a sample-efficiency leaderboard. Only the fields present in the verified sheets are approved for reuse.</x:v>
      </x:c>
      <x:c r="B20" s="19"/>
      <x:c r="C20" s="19"/>
      <x:c r="D20" s="19"/>
      <x:c r="E20" s="19"/>
      <x:c r="F20" s="19"/>
      <x:c r="G20" s="19"/>
      <x:c r="H20" s="19"/>
    </x:row>
    <x:row r="21">
      <x:c r="A21" s="19"/>
      <x:c r="B21" s="19"/>
      <x:c r="C21" s="19"/>
      <x:c r="D21" s="19"/>
      <x:c r="E21" s="19"/>
      <x:c r="F21" s="19"/>
      <x:c r="G21" s="19"/>
      <x:c r="H21" s="19"/>
    </x:row>
    <x:row r="22">
      <x:c r="A22" s="19"/>
      <x:c r="B22" s="19"/>
      <x:c r="C22" s="19"/>
      <x:c r="D22" s="19"/>
      <x:c r="E22" s="19"/>
      <x:c r="F22" s="19"/>
      <x:c r="G22" s="19"/>
      <x:c r="H22" s="19"/>
    </x:row>
  </x:sheetData>
  <x:mergeCells>
    <x:mergeCell ref="A1:H1"/>
    <x:mergeCell ref="A19:H19"/>
    <x:mergeCell ref="A20: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4.4399995803833" hidden="0" customWidth="1"/>
    <x:col min="3" max="3" width="14.4399995803833" hidden="0" customWidth="1"/>
    <x:col min="4" max="4" width="14.4399995803833" hidden="0" customWidth="1"/>
    <x:col min="5" max="5" width="14.4399995803833" hidden="0" customWidth="1"/>
    <x:col min="6" max="6" width="55.560001373291016" hidden="0" customWidth="1"/>
    <x:col min="7" max="7" width="16.110000610351562" hidden="0" customWidth="1"/>
    <x:col min="8" max="8" width="16.110000610351562" hidden="0" customWidth="1"/>
  </x:cols>
  <x:sheetData>
    <x:row r="1" ht="31.5" customHeight="1">
      <x:c r="A1" s="28" t="str">
        <x:v>input_file</x:v>
      </x:c>
      <x:c r="B1" s="28" t="str">
        <x:v>input_rows</x:v>
      </x:c>
      <x:c r="C1" s="28" t="str">
        <x:v>retained_or_corrected_input_rows</x:v>
      </x:c>
      <x:c r="D1" s="28" t="str">
        <x:v>excluded_input_rows</x:v>
      </x:c>
      <x:c r="E1" s="28" t="str">
        <x:v>verified_output_rows</x:v>
      </x:c>
      <x:c r="F1" s="28" t="str">
        <x:v>audit_conclusion</x:v>
      </x:c>
      <x:c r="G1" s="28" t="str">
        <x:v>retention_rate (derived)</x:v>
      </x:c>
      <x:c r="H1" s="28" t="str">
        <x:v>reconciliation</x:v>
      </x:c>
    </x:row>
    <x:row r="2">
      <x:c r="A2" s="29" t="str">
        <x:v>corpus_master.csv</x:v>
      </x:c>
      <x:c r="B2" s="30" t="n">
        <x:v>106</x:v>
      </x:c>
      <x:c r="C2" s="30" t="n">
        <x:v>0</x:v>
      </x:c>
      <x:c r="D2" s="30" t="n">
        <x:v>106</x:v>
      </x:c>
      <x:c r="E2" s="30" t="n">
        <x:v>0</x:v>
      </x:c>
      <x:c r="F2" s="29" t="str">
        <x:v>No rows retained because field-level primary-source traceability is absent.</x:v>
      </x:c>
      <x:c r="G2" s="31" t="n">
        <x:f>IF(B2=0,0,C2/B2)</x:f>
        <x:v>0</x:v>
      </x:c>
      <x:c r="H2" s="29" t="str">
        <x:f>IF(B2=C2+D2,"PASS","CHECK")</x:f>
        <x:v>PASS</x:v>
      </x:c>
    </x:row>
    <x:row r="3">
      <x:c r="A3" s="29" t="str">
        <x:v>evidence_edges.csv</x:v>
      </x:c>
      <x:c r="B3" s="30" t="n">
        <x:v>34</x:v>
      </x:c>
      <x:c r="C3" s="30" t="n">
        <x:v>0</x:v>
      </x:c>
      <x:c r="D3" s="30" t="n">
        <x:v>34</x:v>
      </x:c>
      <x:c r="E3" s="30" t="n">
        <x:v>0</x:v>
      </x:c>
      <x:c r="F3" s="29" t="str">
        <x:v>No rows retained because field-level primary-source traceability is absent.</x:v>
      </x:c>
      <x:c r="G3" s="31" t="n">
        <x:f>IF(B3=0,0,C3/B3)</x:f>
        <x:v>0</x:v>
      </x:c>
      <x:c r="H3" s="29" t="str">
        <x:f>IF(B3=C3+D3,"PASS","CHECK")</x:f>
        <x:v>PASS</x:v>
      </x:c>
    </x:row>
    <x:row r="4">
      <x:c r="A4" s="29" t="str">
        <x:v>data_scaling.csv</x:v>
      </x:c>
      <x:c r="B4" s="30" t="n">
        <x:v>7</x:v>
      </x:c>
      <x:c r="C4" s="30" t="n">
        <x:v>6</x:v>
      </x:c>
      <x:c r="D4" s="30" t="n">
        <x:v>1</x:v>
      </x:c>
      <x:c r="E4" s="30" t="n">
        <x:v>7</x:v>
      </x:c>
      <x:c r="F4" s="29" t="str">
        <x:v>Only primary-source-verified scale claims retained; one row split into two claims.</x:v>
      </x:c>
      <x:c r="G4" s="31" t="n">
        <x:f>IF(B4=0,0,C4/B4)</x:f>
        <x:v>0.8571428571428571</x:v>
      </x:c>
      <x:c r="H4" s="29" t="str">
        <x:f>IF(B4=C4+D4,"PASS","CHECK")</x:f>
        <x:v>PASS</x:v>
      </x:c>
    </x:row>
  </x:sheetData>
  <x:pageMargins left="0.7" right="0.7" top="0.75" bottom="0.75" header="0.3" footer="0.3"/>
  <x:tableParts count="1">
    <x:tablePart xmlns:r="http://schemas.openxmlformats.org/officeDocument/2006/relationships" r:id="Rec7c1216363249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12.779999732971191" hidden="0" customWidth="1"/>
    <x:col min="3" max="3" width="27.219999313354492" hidden="0" customWidth="1"/>
    <x:col min="4" max="4" width="22.780000686645508" hidden="0" customWidth="1"/>
    <x:col min="5" max="5" width="12.779999732971191" hidden="0" customWidth="1"/>
    <x:col min="6" max="6" width="12.779999732971191" hidden="0" customWidth="1"/>
    <x:col min="7" max="7" width="19.440000534057617" hidden="0" customWidth="1"/>
    <x:col min="8" max="8" width="19.440000534057617" hidden="0" customWidth="1"/>
    <x:col min="9" max="9" width="30" hidden="0" customWidth="1"/>
    <x:col min="10" max="10" width="16.670000076293945" hidden="0" customWidth="1"/>
    <x:col min="11" max="11" width="16.670000076293945" hidden="0" customWidth="1"/>
    <x:col min="12" max="12" width="15.5600004196167" hidden="0" customWidth="1"/>
  </x:cols>
  <x:sheetData>
    <x:row r="1" ht="31.5" customHeight="1">
      <x:c r="A1" s="28" t="str">
        <x:v>record_id</x:v>
      </x:c>
      <x:c r="B1" s="28" t="str">
        <x:v>system</x:v>
      </x:c>
      <x:c r="C1" s="28" t="str">
        <x:v>measurement_scope</x:v>
      </x:c>
      <x:c r="D1" s="28" t="str">
        <x:v>data_role</x:v>
      </x:c>
      <x:c r="E1" s="28" t="str">
        <x:v>reported_hours</x:v>
      </x:c>
      <x:c r="F1" s="28" t="str">
        <x:v>bound_type</x:v>
      </x:c>
      <x:c r="G1" s="28" t="str">
        <x:v>source_version</x:v>
      </x:c>
      <x:c r="H1" s="28" t="str">
        <x:v>source_locator</x:v>
      </x:c>
      <x:c r="I1" s="28" t="str">
        <x:v>source_url</x:v>
      </x:c>
      <x:c r="J1" s="28" t="str">
        <x:v>verification_date</x:v>
      </x:c>
      <x:c r="K1" s="28" t="str">
        <x:v>verification_status</x:v>
      </x:c>
      <x:c r="L1" s="28" t="str">
        <x:v>log10_hours (derived)</x:v>
      </x:c>
    </x:row>
    <x:row r="2">
      <x:c r="A2" s="29" t="str">
        <x:v>cosmos_raw</x:v>
      </x:c>
      <x:c r="B2" s="29" t="str">
        <x:v>Cosmos WFM</x:v>
      </x:c>
      <x:c r="C2" s="29" t="str">
        <x:v>raw candidate video collection</x:v>
      </x:c>
      <x:c r="D2" s="29" t="str">
        <x:v>raw_video_collection</x:v>
      </x:c>
      <x:c r="E2" s="32" t="n">
        <x:v>20000000</x:v>
      </x:c>
      <x:c r="F2" s="29" t="str">
        <x:v>approximate</x:v>
      </x:c>
      <x:c r="G2" s="29" t="str">
        <x:v>arXiv:2501.03575v3</x:v>
      </x:c>
      <x:c r="H2" s="29" t="str">
        <x:v>Sections 1 and 3.1</x:v>
      </x:c>
      <x:c r="I2" s="29" t="str">
        <x:v>https://arxiv.org/html/2501.03575</x:v>
      </x:c>
      <x:c r="J2" s="29" t="str">
        <x:v>2026-08-26</x:v>
      </x:c>
      <x:c r="K2" s="29" t="str">
        <x:v>verified_primary_source</x:v>
      </x:c>
      <x:c r="L2" s="33" t="n">
        <x:f>LOG10(E2)</x:f>
        <x:v>7.30102999566398</x:v>
      </x:c>
    </x:row>
    <x:row r="3">
      <x:c r="A3" s="29" t="str">
        <x:v>vjepa2_pretrain</x:v>
      </x:c>
      <x:c r="B3" s="29" t="str">
        <x:v>V-JEPA 2</x:v>
      </x:c>
      <x:c r="C3" s="29" t="str">
        <x:v>internet-video pretraining pool</x:v>
      </x:c>
      <x:c r="D3" s="29" t="str">
        <x:v>internet_video_pretraining</x:v>
      </x:c>
      <x:c r="E3" s="32" t="n">
        <x:v>1000000</x:v>
      </x:c>
      <x:c r="F3" s="29" t="str">
        <x:v>lower_bound</x:v>
      </x:c>
      <x:c r="G3" s="29" t="str">
        <x:v>arXiv:2506.09985v1</x:v>
      </x:c>
      <x:c r="H3" s="29" t="str">
        <x:v>Abstract and Section 2</x:v>
      </x:c>
      <x:c r="I3" s="29" t="str">
        <x:v>https://arxiv.org/html/2506.09985</x:v>
      </x:c>
      <x:c r="J3" s="29" t="str">
        <x:v>2026-08-26</x:v>
      </x:c>
      <x:c r="K3" s="29" t="str">
        <x:v>verified_primary_source</x:v>
      </x:c>
      <x:c r="L3" s="33" t="n">
        <x:f>LOG10(E3)</x:f>
        <x:v>6</x:v>
      </x:c>
    </x:row>
    <x:row r="4">
      <x:c r="A4" s="29" t="str">
        <x:v>pi0_pretrain</x:v>
      </x:c>
      <x:c r="B4" s="29" t="str">
        <x:v>pi_0</x:v>
      </x:c>
      <x:c r="C4" s="29" t="str">
        <x:v>robot-data pretraining mixture</x:v>
      </x:c>
      <x:c r="D4" s="29" t="str">
        <x:v>robot_demonstration_pretraining</x:v>
      </x:c>
      <x:c r="E4" s="32" t="n">
        <x:v>10000</x:v>
      </x:c>
      <x:c r="F4" s="29" t="str">
        <x:v>lower_bound</x:v>
      </x:c>
      <x:c r="G4" s="29" t="str">
        <x:v>arXiv:2410.24164v4</x:v>
      </x:c>
      <x:c r="H4" s="29" t="str">
        <x:v>Introduction and conclusion</x:v>
      </x:c>
      <x:c r="I4" s="29" t="str">
        <x:v>https://arxiv.org/html/2410.24164v4</x:v>
      </x:c>
      <x:c r="J4" s="29" t="str">
        <x:v>2026-08-26</x:v>
      </x:c>
      <x:c r="K4" s="29" t="str">
        <x:v>verified_primary_source</x:v>
      </x:c>
      <x:c r="L4" s="33" t="n">
        <x:f>LOG10(E4)</x:f>
        <x:v>4</x:v>
      </x:c>
    </x:row>
    <x:row r="5">
      <x:c r="A5" s="29" t="str">
        <x:v>dreamer4_video</x:v>
      </x:c>
      <x:c r="B5" s="29" t="str">
        <x:v>Dreamer 4</x:v>
      </x:c>
      <x:c r="C5" s="29" t="str">
        <x:v>VPT gameplay-video pool</x:v>
      </x:c>
      <x:c r="D5" s="29" t="str">
        <x:v>gameplay_video_pool</x:v>
      </x:c>
      <x:c r="E5" s="32" t="n">
        <x:v>2541</x:v>
      </x:c>
      <x:c r="F5" s="29" t="str">
        <x:v>exact</x:v>
      </x:c>
      <x:c r="G5" s="29" t="str">
        <x:v>arXiv:2509.24527v1</x:v>
      </x:c>
      <x:c r="H5" s="29" t="str">
        <x:v>Section 4.3 and Appendix: Minecraft VPT</x:v>
      </x:c>
      <x:c r="I5" s="29" t="str">
        <x:v>https://arxiv.org/pdf/2509.24527</x:v>
      </x:c>
      <x:c r="J5" s="29" t="str">
        <x:v>2026-08-26</x:v>
      </x:c>
      <x:c r="K5" s="29" t="str">
        <x:v>verified_primary_source</x:v>
      </x:c>
      <x:c r="L5" s="33" t="n">
        <x:f>LOG10(E5)</x:f>
        <x:v>3.40500466505037</x:v>
      </x:c>
    </x:row>
    <x:row r="6">
      <x:c r="A6" s="29" t="str">
        <x:v>droid_full</x:v>
      </x:c>
      <x:c r="B6" s="29" t="str">
        <x:v>DROID</x:v>
      </x:c>
      <x:c r="C6" s="29" t="str">
        <x:v>full robot-interaction dataset</x:v>
      </x:c>
      <x:c r="D6" s="29" t="str">
        <x:v>robot_interaction_dataset</x:v>
      </x:c>
      <x:c r="E6" s="32" t="n">
        <x:v>350</x:v>
      </x:c>
      <x:c r="F6" s="29" t="str">
        <x:v>exact</x:v>
      </x:c>
      <x:c r="G6" s="29" t="str">
        <x:v>arXiv:2403.12945v2</x:v>
      </x:c>
      <x:c r="H6" s="29" t="str">
        <x:v>Abstract</x:v>
      </x:c>
      <x:c r="I6" s="29" t="str">
        <x:v>https://arxiv.org/html/2403.12945v2</x:v>
      </x:c>
      <x:c r="J6" s="29" t="str">
        <x:v>2026-08-26</x:v>
      </x:c>
      <x:c r="K6" s="29" t="str">
        <x:v>verified_primary_source</x:v>
      </x:c>
      <x:c r="L6" s="33" t="n">
        <x:f>LOG10(E6)</x:f>
        <x:v>2.54406804435028</x:v>
      </x:c>
    </x:row>
    <x:row r="7">
      <x:c r="A7" s="29" t="str">
        <x:v>dreamer4_actions</x:v>
      </x:c>
      <x:c r="B7" s="29" t="str">
        <x:v>Dreamer 4</x:v>
      </x:c>
      <x:c r="C7" s="29" t="str">
        <x:v>paired-action ablation subset</x:v>
      </x:c>
      <x:c r="D7" s="29" t="str">
        <x:v>action_conditioning_ablation</x:v>
      </x:c>
      <x:c r="E7" s="32" t="n">
        <x:v>100</x:v>
      </x:c>
      <x:c r="F7" s="29" t="str">
        <x:v>exact</x:v>
      </x:c>
      <x:c r="G7" s="29" t="str">
        <x:v>arXiv:2509.24527v1</x:v>
      </x:c>
      <x:c r="H7" s="29" t="str">
        <x:v>Section 4.3 and Figure 7</x:v>
      </x:c>
      <x:c r="I7" s="29" t="str">
        <x:v>https://arxiv.org/pdf/2509.24527</x:v>
      </x:c>
      <x:c r="J7" s="29" t="str">
        <x:v>2026-08-26</x:v>
      </x:c>
      <x:c r="K7" s="29" t="str">
        <x:v>verified_primary_source</x:v>
      </x:c>
      <x:c r="L7" s="33" t="n">
        <x:f>LOG10(E7)</x:f>
        <x:v>2</x:v>
      </x:c>
    </x:row>
    <x:row r="8">
      <x:c r="A8" s="29" t="str">
        <x:v>vjepa2_ac</x:v>
      </x:c>
      <x:c r="B8" s="29" t="str">
        <x:v>V-JEPA 2-AC</x:v>
      </x:c>
      <x:c r="C8" s="29" t="str">
        <x:v>filtered robot-video subset with end-effector states and derived actions</x:v>
      </x:c>
      <x:c r="D8" s="29" t="str">
        <x:v>robot_video_with_derived_actions</x:v>
      </x:c>
      <x:c r="E8" s="32" t="n">
        <x:v>62</x:v>
      </x:c>
      <x:c r="F8" s="29" t="str">
        <x:v>upper_bound</x:v>
      </x:c>
      <x:c r="G8" s="29" t="str">
        <x:v>arXiv:2506.09985v1</x:v>
      </x:c>
      <x:c r="H8" s="29" t="str">
        <x:v>Abstract and Section 3.1</x:v>
      </x:c>
      <x:c r="I8" s="29" t="str">
        <x:v>https://arxiv.org/html/2506.09985</x:v>
      </x:c>
      <x:c r="J8" s="29" t="str">
        <x:v>2026-08-26</x:v>
      </x:c>
      <x:c r="K8" s="29" t="str">
        <x:v>verified_primary_source</x:v>
      </x:c>
      <x:c r="L8" s="33" t="n">
        <x:f>LOG10(E8)</x:f>
        <x:v>1.79239168949825</x:v>
      </x:c>
    </x:row>
  </x:sheetData>
  <x:pageMargins left="0.7" right="0.7" top="0.75" bottom="0.75" header="0.3" footer="0.3"/>
  <x:tableParts count="1">
    <x:tablePart xmlns:r="http://schemas.openxmlformats.org/officeDocument/2006/relationships" r:id="R5fab78d6f7414e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1.110000610351562" hidden="0" customWidth="1"/>
    <x:col min="2" max="2" width="12.220000267028809" hidden="0" customWidth="1"/>
    <x:col min="3" max="3" width="12.779999732971191" hidden="0" customWidth="1"/>
    <x:col min="4" max="4" width="12.779999732971191" hidden="0" customWidth="1"/>
    <x:col min="5" max="5" width="12.779999732971191" hidden="0" customWidth="1"/>
    <x:col min="6" max="6" width="12.779999732971191" hidden="0" customWidth="1"/>
    <x:col min="7" max="7" width="12.779999732971191" hidden="0" customWidth="1"/>
    <x:col min="8" max="8" width="16.670000076293945" hidden="0" customWidth="1"/>
    <x:col min="9" max="9" width="16.670000076293945" hidden="0" customWidth="1"/>
    <x:col min="10" max="10" width="16.670000076293945" hidden="0" customWidth="1"/>
    <x:col min="11" max="11" width="19.440000534057617" hidden="0" customWidth="1"/>
    <x:col min="12" max="12" width="19.440000534057617" hidden="0" customWidth="1"/>
    <x:col min="13" max="13" width="30" hidden="0" customWidth="1"/>
    <x:col min="14" max="14" width="17.219999313354492" hidden="0" customWidth="1"/>
    <x:col min="15" max="15" width="17.219999313354492" hidden="0" customWidth="1"/>
    <x:col min="16" max="16" width="17.219999313354492" hidden="0" customWidth="1"/>
    <x:col min="17" max="17" width="17.219999313354492" hidden="0" customWidth="1"/>
  </x:cols>
  <x:sheetData>
    <x:row r="1" ht="31.5" customHeight="1">
      <x:c r="A1" s="37" t="str">
        <x:v>task</x:v>
      </x:c>
      <x:c r="B1" s="37" t="str">
        <x:v>baseline_system</x:v>
      </x:c>
      <x:c r="C1" s="37" t="str">
        <x:v>baseline_mean_pct</x:v>
      </x:c>
      <x:c r="D1" s="37" t="str">
        <x:v>baseline_se_pct</x:v>
      </x:c>
      <x:c r="E1" s="37" t="str">
        <x:v>proposed_system</x:v>
      </x:c>
      <x:c r="F1" s="37" t="str">
        <x:v>proposed_mean_pct</x:v>
      </x:c>
      <x:c r="G1" s="37" t="str">
        <x:v>proposed_se_pct</x:v>
      </x:c>
      <x:c r="H1" s="37" t="str">
        <x:v>trials_per_evaluation</x:v>
      </x:c>
      <x:c r="I1" s="37" t="str">
        <x:v>repeated_evaluations</x:v>
      </x:c>
      <x:c r="J1" s="37" t="str">
        <x:v>evaluation_protocol</x:v>
      </x:c>
      <x:c r="K1" s="37" t="str">
        <x:v>source_version</x:v>
      </x:c>
      <x:c r="L1" s="37" t="str">
        <x:v>source_locator</x:v>
      </x:c>
      <x:c r="M1" s="37" t="str">
        <x:v>source_url</x:v>
      </x:c>
      <x:c r="N1" s="37" t="str">
        <x:v>verification_date</x:v>
      </x:c>
      <x:c r="O1" s="37" t="str">
        <x:v>verification_status</x:v>
      </x:c>
      <x:c r="P1" s="37" t="str">
        <x:v>delta_pp (derived)</x:v>
      </x:c>
      <x:c r="Q1" s="37" t="str">
        <x:v>direction (derived)</x:v>
      </x:c>
    </x:row>
    <x:row r="2">
      <x:c r="A2" s="29" t="str">
        <x:v>Open the drawer</x:v>
      </x:c>
      <x:c r="B2" s="29" t="str">
        <x:v>SIMPLER</x:v>
      </x:c>
      <x:c r="C2" s="30" t="n">
        <x:v>34</x:v>
      </x:c>
      <x:c r="D2" s="30" t="n">
        <x:v>7</x:v>
      </x:c>
      <x:c r="E2" s="30" t="str">
        <x:v>World-Gymnast</x:v>
      </x:c>
      <x:c r="F2" s="30" t="n">
        <x:v>58</x:v>
      </x:c>
      <x:c r="G2" s="30" t="n">
        <x:v>4</x:v>
      </x:c>
      <x:c r="H2" s="29" t="n">
        <x:v>10</x:v>
      </x:c>
      <x:c r="I2" s="29" t="n">
        <x:v>5</x:v>
      </x:c>
      <x:c r="J2" s="29" t="str">
        <x:v>AutoEval real-robot evaluation</x:v>
      </x:c>
      <x:c r="K2" s="29" t="str">
        <x:v>arXiv:2602.02454v1</x:v>
      </x:c>
      <x:c r="L2" s="29" t="str">
        <x:v>Section 4.1 and Table 1</x:v>
      </x:c>
      <x:c r="M2" s="29" t="str">
        <x:v>https://arxiv.org/html/2602.02454v1</x:v>
      </x:c>
      <x:c r="N2" s="29" t="str">
        <x:v>2026-08-26</x:v>
      </x:c>
      <x:c r="O2" s="29" t="str">
        <x:v>verified_primary_source</x:v>
      </x:c>
      <x:c r="P2" s="38" t="n">
        <x:f>F2-C2</x:f>
        <x:v>24</x:v>
      </x:c>
      <x:c r="Q2" s="29" t="str">
        <x:f>IF(P2&gt;0,"favors World-Gymnast",IF(P2&lt;0,"favors SIMPLER","tie"))</x:f>
        <x:v>favors World-Gymnast</x:v>
      </x:c>
    </x:row>
    <x:row r="3">
      <x:c r="A3" s="29" t="str">
        <x:v>Close the drawer</x:v>
      </x:c>
      <x:c r="B3" s="29" t="str">
        <x:v>SIMPLER</x:v>
      </x:c>
      <x:c r="C3" s="30" t="n">
        <x:v>74</x:v>
      </x:c>
      <x:c r="D3" s="30" t="n">
        <x:v>5</x:v>
      </x:c>
      <x:c r="E3" s="30" t="str">
        <x:v>World-Gymnast</x:v>
      </x:c>
      <x:c r="F3" s="30" t="n">
        <x:v>62</x:v>
      </x:c>
      <x:c r="G3" s="30" t="n">
        <x:v>6</x:v>
      </x:c>
      <x:c r="H3" s="29" t="n">
        <x:v>10</x:v>
      </x:c>
      <x:c r="I3" s="29" t="n">
        <x:v>5</x:v>
      </x:c>
      <x:c r="J3" s="29" t="str">
        <x:v>AutoEval real-robot evaluation</x:v>
      </x:c>
      <x:c r="K3" s="29" t="str">
        <x:v>arXiv:2602.02454v1</x:v>
      </x:c>
      <x:c r="L3" s="29" t="str">
        <x:v>Section 4.1 and Table 1</x:v>
      </x:c>
      <x:c r="M3" s="29" t="str">
        <x:v>https://arxiv.org/html/2602.02454v1</x:v>
      </x:c>
      <x:c r="N3" s="29" t="str">
        <x:v>2026-08-26</x:v>
      </x:c>
      <x:c r="O3" s="29" t="str">
        <x:v>verified_primary_source</x:v>
      </x:c>
      <x:c r="P3" s="38" t="n">
        <x:f>F3-C3</x:f>
        <x:v>-12</x:v>
      </x:c>
      <x:c r="Q3" s="29" t="str">
        <x:f>IF(P3&gt;0,"favors World-Gymnast",IF(P3&lt;0,"favors SIMPLER","tie"))</x:f>
        <x:v>favors SIMPLER</x:v>
      </x:c>
    </x:row>
    <x:row r="4">
      <x:c r="A4" s="29" t="str">
        <x:v>Put the eggplant into the blue sink</x:v>
      </x:c>
      <x:c r="B4" s="29" t="str">
        <x:v>SIMPLER</x:v>
      </x:c>
      <x:c r="C4" s="30" t="n">
        <x:v>32</x:v>
      </x:c>
      <x:c r="D4" s="30" t="n">
        <x:v>10</x:v>
      </x:c>
      <x:c r="E4" s="30" t="str">
        <x:v>World-Gymnast</x:v>
      </x:c>
      <x:c r="F4" s="30" t="n">
        <x:v>72</x:v>
      </x:c>
      <x:c r="G4" s="30" t="n">
        <x:v>10</x:v>
      </x:c>
      <x:c r="H4" s="29" t="n">
        <x:v>10</x:v>
      </x:c>
      <x:c r="I4" s="29" t="n">
        <x:v>5</x:v>
      </x:c>
      <x:c r="J4" s="29" t="str">
        <x:v>AutoEval real-robot evaluation</x:v>
      </x:c>
      <x:c r="K4" s="29" t="str">
        <x:v>arXiv:2602.02454v1</x:v>
      </x:c>
      <x:c r="L4" s="29" t="str">
        <x:v>Section 4.1 and Table 1</x:v>
      </x:c>
      <x:c r="M4" s="29" t="str">
        <x:v>https://arxiv.org/html/2602.02454v1</x:v>
      </x:c>
      <x:c r="N4" s="29" t="str">
        <x:v>2026-08-26</x:v>
      </x:c>
      <x:c r="O4" s="29" t="str">
        <x:v>verified_primary_source</x:v>
      </x:c>
      <x:c r="P4" s="38" t="n">
        <x:f>F4-C4</x:f>
        <x:v>40</x:v>
      </x:c>
      <x:c r="Q4" s="29" t="str">
        <x:f>IF(P4&gt;0,"favors World-Gymnast",IF(P4&lt;0,"favors SIMPLER","tie"))</x:f>
        <x:v>favors World-Gymnast</x:v>
      </x:c>
    </x:row>
    <x:row r="5">
      <x:c r="A5" s="29" t="str">
        <x:v>Put the eggplant into the yellow basket</x:v>
      </x:c>
      <x:c r="B5" s="29" t="str">
        <x:v>SIMPLER</x:v>
      </x:c>
      <x:c r="C5" s="30" t="n">
        <x:v>40</x:v>
      </x:c>
      <x:c r="D5" s="30" t="n">
        <x:v>10</x:v>
      </x:c>
      <x:c r="E5" s="30" t="str">
        <x:v>World-Gymnast</x:v>
      </x:c>
      <x:c r="F5" s="30" t="n">
        <x:v>78</x:v>
      </x:c>
      <x:c r="G5" s="30" t="n">
        <x:v>2</x:v>
      </x:c>
      <x:c r="H5" s="29" t="n">
        <x:v>10</x:v>
      </x:c>
      <x:c r="I5" s="29" t="n">
        <x:v>5</x:v>
      </x:c>
      <x:c r="J5" s="29" t="str">
        <x:v>AutoEval real-robot evaluation</x:v>
      </x:c>
      <x:c r="K5" s="29" t="str">
        <x:v>arXiv:2602.02454v1</x:v>
      </x:c>
      <x:c r="L5" s="29" t="str">
        <x:v>Section 4.1 and Table 1</x:v>
      </x:c>
      <x:c r="M5" s="29" t="str">
        <x:v>https://arxiv.org/html/2602.02454v1</x:v>
      </x:c>
      <x:c r="N5" s="29" t="str">
        <x:v>2026-08-26</x:v>
      </x:c>
      <x:c r="O5" s="29" t="str">
        <x:v>verified_primary_source</x:v>
      </x:c>
      <x:c r="P5" s="38" t="n">
        <x:f>F5-C5</x:f>
        <x:v>38</x:v>
      </x:c>
      <x:c r="Q5" s="29" t="str">
        <x:f>IF(P5&gt;0,"favors World-Gymnast",IF(P5&lt;0,"favors SIMPLER","tie"))</x:f>
        <x:v>favors World-Gymnast</x:v>
      </x:c>
    </x:row>
  </x:sheetData>
  <x:pageMargins left="0.7" right="0.7" top="0.75" bottom="0.75" header="0.3" footer="0.3"/>
  <x:tableParts count="1">
    <x:tablePart xmlns:r="http://schemas.openxmlformats.org/officeDocument/2006/relationships" r:id="R4b5deb6c325a4e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23.329999923706055" hidden="0" customWidth="1"/>
    <x:col min="3" max="3" width="51.11000061035156" hidden="0" customWidth="1"/>
    <x:col min="4" max="4" width="17.219999313354492" hidden="0" customWidth="1"/>
    <x:col min="5" max="5" width="17.219999313354492" hidden="0" customWidth="1"/>
    <x:col min="6" max="6" width="31.110000610351562" hidden="0" customWidth="1"/>
    <x:col min="7" max="7" width="18.889999389648438" hidden="0" customWidth="1"/>
    <x:col min="8" max="8" width="18.889999389648438" hidden="0" customWidth="1"/>
  </x:cols>
  <x:sheetData>
    <x:row r="1" ht="31.5" customHeight="1">
      <x:c r="A1" s="28" t="str">
        <x:v>source_id</x:v>
      </x:c>
      <x:c r="B1" s="28" t="str">
        <x:v>system_or_dataset</x:v>
      </x:c>
      <x:c r="C1" s="28" t="str">
        <x:v>title</x:v>
      </x:c>
      <x:c r="D1" s="28" t="str">
        <x:v>source_version_date</x:v>
      </x:c>
      <x:c r="E1" s="28" t="str">
        <x:v>source_version</x:v>
      </x:c>
      <x:c r="F1" s="28" t="str">
        <x:v>source_url</x:v>
      </x:c>
      <x:c r="G1" s="28" t="str">
        <x:v>verification_date</x:v>
      </x:c>
      <x:c r="H1" s="28" t="str">
        <x:v>verification_status</x:v>
      </x:c>
    </x:row>
    <x:row r="2">
      <x:c r="A2" s="29" t="str">
        <x:v>cosmos</x:v>
      </x:c>
      <x:c r="B2" s="29" t="str">
        <x:v>Cosmos WFM</x:v>
      </x:c>
      <x:c r="C2" s="29" t="str">
        <x:v>Cosmos World Foundation Model Platform for Physical AI</x:v>
      </x:c>
      <x:c r="D2" s="29" t="str">
        <x:v>2025-07-09</x:v>
      </x:c>
      <x:c r="E2" s="29" t="str">
        <x:v>arXiv:2501.03575v3</x:v>
      </x:c>
      <x:c r="F2" s="29" t="str">
        <x:v>https://arxiv.org/html/2501.03575</x:v>
      </x:c>
      <x:c r="G2" s="29" t="str">
        <x:v>2026-08-26</x:v>
      </x:c>
      <x:c r="H2" s="29" t="str">
        <x:v>verified_primary_source</x:v>
      </x:c>
    </x:row>
    <x:row r="3">
      <x:c r="A3" s="29" t="str">
        <x:v>vjepa2</x:v>
      </x:c>
      <x:c r="B3" s="29" t="str">
        <x:v>V-JEPA 2 / V-JEPA 2-AC</x:v>
      </x:c>
      <x:c r="C3" s="29" t="str">
        <x:v>V-JEPA 2: Self-Supervised Video Models Enable Understanding, Prediction and Planning</x:v>
      </x:c>
      <x:c r="D3" s="29" t="str">
        <x:v>2025-06-11</x:v>
      </x:c>
      <x:c r="E3" s="29" t="str">
        <x:v>arXiv:2506.09985v1</x:v>
      </x:c>
      <x:c r="F3" s="29" t="str">
        <x:v>https://arxiv.org/html/2506.09985</x:v>
      </x:c>
      <x:c r="G3" s="29" t="str">
        <x:v>2026-08-26</x:v>
      </x:c>
      <x:c r="H3" s="29" t="str">
        <x:v>verified_primary_source</x:v>
      </x:c>
    </x:row>
    <x:row r="4">
      <x:c r="A4" s="29" t="str">
        <x:v>pi0</x:v>
      </x:c>
      <x:c r="B4" s="29" t="str">
        <x:v>pi_0</x:v>
      </x:c>
      <x:c r="C4" s="29" t="str">
        <x:v>pi_0: A Vision-Language-Action Flow Model for General Robot Control</x:v>
      </x:c>
      <x:c r="D4" s="29" t="str">
        <x:v>2026-01-08</x:v>
      </x:c>
      <x:c r="E4" s="29" t="str">
        <x:v>arXiv:2410.24164v4</x:v>
      </x:c>
      <x:c r="F4" s="29" t="str">
        <x:v>https://arxiv.org/html/2410.24164v4</x:v>
      </x:c>
      <x:c r="G4" s="29" t="str">
        <x:v>2026-08-26</x:v>
      </x:c>
      <x:c r="H4" s="29" t="str">
        <x:v>verified_primary_source</x:v>
      </x:c>
    </x:row>
    <x:row r="5">
      <x:c r="A5" s="29" t="str">
        <x:v>dreamer4</x:v>
      </x:c>
      <x:c r="B5" s="29" t="str">
        <x:v>Dreamer 4</x:v>
      </x:c>
      <x:c r="C5" s="29" t="str">
        <x:v>Training Agents Inside of Scalable World Models</x:v>
      </x:c>
      <x:c r="D5" s="29" t="str">
        <x:v>2025-09-29</x:v>
      </x:c>
      <x:c r="E5" s="29" t="str">
        <x:v>arXiv:2509.24527v1</x:v>
      </x:c>
      <x:c r="F5" s="29" t="str">
        <x:v>https://arxiv.org/pdf/2509.24527</x:v>
      </x:c>
      <x:c r="G5" s="29" t="str">
        <x:v>2026-08-26</x:v>
      </x:c>
      <x:c r="H5" s="29" t="str">
        <x:v>verified_primary_source</x:v>
      </x:c>
    </x:row>
    <x:row r="6">
      <x:c r="A6" s="29" t="str">
        <x:v>droid</x:v>
      </x:c>
      <x:c r="B6" s="29" t="str">
        <x:v>DROID</x:v>
      </x:c>
      <x:c r="C6" s="29" t="str">
        <x:v>DROID: A Large-Scale In-The-Wild Robot Manipulation Dataset</x:v>
      </x:c>
      <x:c r="D6" s="29" t="str">
        <x:v>2025-04-22</x:v>
      </x:c>
      <x:c r="E6" s="29" t="str">
        <x:v>arXiv:2403.12945v2</x:v>
      </x:c>
      <x:c r="F6" s="29" t="str">
        <x:v>https://arxiv.org/html/2403.12945v2</x:v>
      </x:c>
      <x:c r="G6" s="29" t="str">
        <x:v>2026-08-26</x:v>
      </x:c>
      <x:c r="H6" s="29" t="str">
        <x:v>verified_primary_source</x:v>
      </x:c>
    </x:row>
    <x:row r="7">
      <x:c r="A7" s="29" t="str">
        <x:v>world_gymnast</x:v>
      </x:c>
      <x:c r="B7" s="29" t="str">
        <x:v>World-Gymnast</x:v>
      </x:c>
      <x:c r="C7" s="29" t="str">
        <x:v>World-Gymnast: Training Robots with Reinforcement Learning in a World Model</x:v>
      </x:c>
      <x:c r="D7" s="29" t="str">
        <x:v>2026-02-02</x:v>
      </x:c>
      <x:c r="E7" s="29" t="str">
        <x:v>arXiv:2602.02454v1</x:v>
      </x:c>
      <x:c r="F7" s="29" t="str">
        <x:v>https://arxiv.org/html/2602.02454v1</x:v>
      </x:c>
      <x:c r="G7" s="29" t="str">
        <x:v>2026-08-26</x:v>
      </x:c>
      <x:c r="H7" s="29" t="str">
        <x:v>verified_primary_source</x:v>
      </x:c>
    </x:row>
  </x:sheetData>
  <x:pageMargins left="0.7" right="0.7" top="0.75" bottom="0.75" header="0.3" footer="0.3"/>
  <x:tableParts count="1">
    <x:tablePart xmlns:r="http://schemas.openxmlformats.org/officeDocument/2006/relationships" r:id="R68d8fc6546ef46d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20" hidden="0" customWidth="1"/>
    <x:col min="3" max="3" width="34.439998626708984" hidden="0" customWidth="1"/>
    <x:col min="4" max="4" width="34.439998626708984" hidden="0" customWidth="1"/>
    <x:col min="5" max="5" width="21.110000610351562" hidden="0" customWidth="1"/>
    <x:col min="6" max="6" width="26.670000076293945" hidden="0" customWidth="1"/>
    <x:col min="7" max="7" width="31.110000610351562" hidden="0" customWidth="1"/>
    <x:col min="8" max="8" width="16.670000076293945" hidden="0" customWidth="1"/>
  </x:cols>
  <x:sheetData>
    <x:row r="1" ht="31.5" customHeight="1">
      <x:c r="A1" s="42" t="str">
        <x:v>claim_id</x:v>
      </x:c>
      <x:c r="B1" s="42" t="str">
        <x:v>claim_type</x:v>
      </x:c>
      <x:c r="C1" s="42" t="str">
        <x:v>submitted_representation</x:v>
      </x:c>
      <x:c r="D1" s="42" t="str">
        <x:v>verified_representation</x:v>
      </x:c>
      <x:c r="E1" s="42" t="str">
        <x:v>decision</x:v>
      </x:c>
      <x:c r="F1" s="42" t="str">
        <x:v>source_locator</x:v>
      </x:c>
      <x:c r="G1" s="42" t="str">
        <x:v>source_url</x:v>
      </x:c>
      <x:c r="H1" s="42" t="str">
        <x:v>verification_date</x:v>
      </x:c>
    </x:row>
    <x:row r="2">
      <x:c r="A2" s="29" t="str">
        <x:v>cosmos_raw</x:v>
      </x:c>
      <x:c r="B2" s="29" t="str">
        <x:v>data scale</x:v>
      </x:c>
      <x:c r="C2" s="29" t="str">
        <x:v>20M presented without a bound</x:v>
      </x:c>
      <x:c r="D2" s="29" t="str">
        <x:v>approximately 20M hours</x:v>
      </x:c>
      <x:c r="E2" s="29" t="str">
        <x:v>qualifier_corrected</x:v>
      </x:c>
      <x:c r="F2" s="29" t="str">
        <x:v>Sections 1 and 3.1</x:v>
      </x:c>
      <x:c r="G2" s="29" t="str">
        <x:v>https://arxiv.org/html/2501.03575</x:v>
      </x:c>
      <x:c r="H2" s="29" t="str">
        <x:v>2026-08-26</x:v>
      </x:c>
    </x:row>
    <x:row r="3">
      <x:c r="A3" s="29" t="str">
        <x:v>vjepa2_pretrain</x:v>
      </x:c>
      <x:c r="B3" s="29" t="str">
        <x:v>data scale</x:v>
      </x:c>
      <x:c r="C3" s="29" t="str">
        <x:v>1M presented as exact</x:v>
      </x:c>
      <x:c r="D3" s="29" t="str">
        <x:v>over 1M hours</x:v>
      </x:c>
      <x:c r="E3" s="29" t="str">
        <x:v>bound_corrected</x:v>
      </x:c>
      <x:c r="F3" s="29" t="str">
        <x:v>Abstract and Section 2</x:v>
      </x:c>
      <x:c r="G3" s="29" t="str">
        <x:v>https://arxiv.org/html/2506.09985</x:v>
      </x:c>
      <x:c r="H3" s="29" t="str">
        <x:v>2026-08-26</x:v>
      </x:c>
    </x:row>
    <x:row r="4">
      <x:c r="A4" s="29" t="str">
        <x:v>pi0_pretrain</x:v>
      </x:c>
      <x:c r="B4" s="29" t="str">
        <x:v>data scale</x:v>
      </x:c>
      <x:c r="C4" s="29" t="str">
        <x:v>10k presented as exact</x:v>
      </x:c>
      <x:c r="D4" s="29" t="str">
        <x:v>over 10,000 hours</x:v>
      </x:c>
      <x:c r="E4" s="29" t="str">
        <x:v>bound_corrected</x:v>
      </x:c>
      <x:c r="F4" s="29" t="str">
        <x:v>Introduction and conclusion</x:v>
      </x:c>
      <x:c r="G4" s="29" t="str">
        <x:v>https://arxiv.org/html/2410.24164v4</x:v>
      </x:c>
      <x:c r="H4" s="29" t="str">
        <x:v>2026-08-26</x:v>
      </x:c>
    </x:row>
    <x:row r="5">
      <x:c r="A5" s="29" t="str">
        <x:v>dreamer4_video</x:v>
      </x:c>
      <x:c r="B5" s="29" t="str">
        <x:v>data scale</x:v>
      </x:c>
      <x:c r="C5" s="29" t="str">
        <x:v>rounded gameplay-video pool</x:v>
      </x:c>
      <x:c r="D5" s="29" t="str">
        <x:v>2,541 hours</x:v>
      </x:c>
      <x:c r="E5" s="29" t="str">
        <x:v>value_corrected</x:v>
      </x:c>
      <x:c r="F5" s="29" t="str">
        <x:v>Section 4.3 and Appendix: Minecraft VPT</x:v>
      </x:c>
      <x:c r="G5" s="29" t="str">
        <x:v>https://arxiv.org/pdf/2509.24527</x:v>
      </x:c>
      <x:c r="H5" s="29" t="str">
        <x:v>2026-08-26</x:v>
      </x:c>
    </x:row>
    <x:row r="6">
      <x:c r="A6" s="29" t="str">
        <x:v>dreamer4_actions</x:v>
      </x:c>
      <x:c r="B6" s="29" t="str">
        <x:v>data scale</x:v>
      </x:c>
      <x:c r="C6" s="29" t="str">
        <x:v>paired-action quantity embedded in a note</x:v>
      </x:c>
      <x:c r="D6" s="29" t="str">
        <x:v>100-hour paired-action condition</x:v>
      </x:c>
      <x:c r="E6" s="29" t="str">
        <x:v>claim_split</x:v>
      </x:c>
      <x:c r="F6" s="29" t="str">
        <x:v>Section 4.3 and Figure 7</x:v>
      </x:c>
      <x:c r="G6" s="29" t="str">
        <x:v>https://arxiv.org/pdf/2509.24527</x:v>
      </x:c>
      <x:c r="H6" s="29" t="str">
        <x:v>2026-08-26</x:v>
      </x:c>
    </x:row>
    <x:row r="7">
      <x:c r="A7" s="29" t="str">
        <x:v>droid_full</x:v>
      </x:c>
      <x:c r="B7" s="29" t="str">
        <x:v>data scale</x:v>
      </x:c>
      <x:c r="C7" s="29" t="str">
        <x:v>350 hours</x:v>
      </x:c>
      <x:c r="D7" s="29" t="str">
        <x:v>350 hours</x:v>
      </x:c>
      <x:c r="E7" s="29" t="str">
        <x:v>retained</x:v>
      </x:c>
      <x:c r="F7" s="29" t="str">
        <x:v>Abstract</x:v>
      </x:c>
      <x:c r="G7" s="29" t="str">
        <x:v>https://arxiv.org/html/2403.12945v2</x:v>
      </x:c>
      <x:c r="H7" s="29" t="str">
        <x:v>2026-08-26</x:v>
      </x:c>
    </x:row>
    <x:row r="8">
      <x:c r="A8" s="29" t="str">
        <x:v>vjepa2_ac</x:v>
      </x:c>
      <x:c r="B8" s="29" t="str">
        <x:v>data scale</x:v>
      </x:c>
      <x:c r="C8" s="29" t="str">
        <x:v>62 presented as exact</x:v>
      </x:c>
      <x:c r="D8" s="29" t="str">
        <x:v>less than 62 hours with end-effector states and derived actions</x:v>
      </x:c>
      <x:c r="E8" s="29" t="str">
        <x:v>bound_and_role_corrected</x:v>
      </x:c>
      <x:c r="F8" s="29" t="str">
        <x:v>Abstract and Section 3.1</x:v>
      </x:c>
      <x:c r="G8" s="29" t="str">
        <x:v>https://arxiv.org/html/2506.09985</x:v>
      </x:c>
      <x:c r="H8" s="29" t="str">
        <x:v>2026-08-26</x:v>
      </x:c>
    </x:row>
    <x:row r="9">
      <x:c r="A9" s="29" t="str">
        <x:v>rt1_estimate</x:v>
      </x:c>
      <x:c r="B9" s="29" t="str">
        <x:v>data scale</x:v>
      </x:c>
      <x:c r="C9" s="29" t="str">
        <x:v>episode-to-hour author estimate</x:v>
      </x:c>
      <x:c r="D9" s="29" t="str">
        <x:v>removed</x:v>
      </x:c>
      <x:c r="E9" s="29" t="str">
        <x:v>excluded_not_primary_measurement</x:v>
      </x:c>
      <x:c r="F9" s="29" t="str">
        <x:v>No reported-hour locator</x:v>
      </x:c>
      <x:c r="G9" s="29" t="str">
        <x:v>https://arxiv.org/abs/2212.06817</x:v>
      </x:c>
      <x:c r="H9" s="29" t="str">
        <x:v>2026-08-26</x:v>
      </x:c>
    </x:row>
    <x:row r="10">
      <x:c r="A10" s="29" t="str">
        <x:v>world_gymnast_open_the_drawer</x:v>
      </x:c>
      <x:c r="B10" s="29" t="str">
        <x:v>real-robot success comparison</x:v>
      </x:c>
      <x:c r="C10" s="29" t="str">
        <x:v>prior verified extraction</x:v>
      </x:c>
      <x:c r="D10" s="29" t="str">
        <x:v>SIMPLER 34±7%; World-Gymnast 58±4%</x:v>
      </x:c>
      <x:c r="E10" s="29" t="str">
        <x:v>retained</x:v>
      </x:c>
      <x:c r="F10" s="29" t="str">
        <x:v>Section 4.1 and Table 1</x:v>
      </x:c>
      <x:c r="G10" s="29" t="str">
        <x:v>https://arxiv.org/html/2602.02454v1</x:v>
      </x:c>
      <x:c r="H10" s="29" t="str">
        <x:v>2026-08-26</x:v>
      </x:c>
    </x:row>
    <x:row r="11">
      <x:c r="A11" s="29" t="str">
        <x:v>world_gymnast_close_the_drawer</x:v>
      </x:c>
      <x:c r="B11" s="29" t="str">
        <x:v>real-robot success comparison</x:v>
      </x:c>
      <x:c r="C11" s="29" t="str">
        <x:v>prior verified extraction</x:v>
      </x:c>
      <x:c r="D11" s="29" t="str">
        <x:v>SIMPLER 74±5%; World-Gymnast 62±6%</x:v>
      </x:c>
      <x:c r="E11" s="29" t="str">
        <x:v>retained</x:v>
      </x:c>
      <x:c r="F11" s="29" t="str">
        <x:v>Section 4.1 and Table 1</x:v>
      </x:c>
      <x:c r="G11" s="29" t="str">
        <x:v>https://arxiv.org/html/2602.02454v1</x:v>
      </x:c>
      <x:c r="H11" s="29" t="str">
        <x:v>2026-08-26</x:v>
      </x:c>
    </x:row>
    <x:row r="12">
      <x:c r="A12" s="29" t="str">
        <x:v>world_gymnast_put_the_eggplant_into_the_blue_sink</x:v>
      </x:c>
      <x:c r="B12" s="29" t="str">
        <x:v>real-robot success comparison</x:v>
      </x:c>
      <x:c r="C12" s="29" t="str">
        <x:v>prior verified extraction</x:v>
      </x:c>
      <x:c r="D12" s="29" t="str">
        <x:v>SIMPLER 32±10%; World-Gymnast 72±10%</x:v>
      </x:c>
      <x:c r="E12" s="29" t="str">
        <x:v>retained</x:v>
      </x:c>
      <x:c r="F12" s="29" t="str">
        <x:v>Section 4.1 and Table 1</x:v>
      </x:c>
      <x:c r="G12" s="29" t="str">
        <x:v>https://arxiv.org/html/2602.02454v1</x:v>
      </x:c>
      <x:c r="H12" s="29" t="str">
        <x:v>2026-08-26</x:v>
      </x:c>
    </x:row>
    <x:row r="13">
      <x:c r="A13" s="29" t="str">
        <x:v>world_gymnast_put_the_eggplant_into_the_yellow_basket</x:v>
      </x:c>
      <x:c r="B13" s="29" t="str">
        <x:v>real-robot success comparison</x:v>
      </x:c>
      <x:c r="C13" s="29" t="str">
        <x:v>prior verified extraction</x:v>
      </x:c>
      <x:c r="D13" s="29" t="str">
        <x:v>SIMPLER 40±10%; World-Gymnast 78±2%</x:v>
      </x:c>
      <x:c r="E13" s="29" t="str">
        <x:v>retained</x:v>
      </x:c>
      <x:c r="F13" s="29" t="str">
        <x:v>Section 4.1 and Table 1</x:v>
      </x:c>
      <x:c r="G13" s="29" t="str">
        <x:v>https://arxiv.org/html/2602.02454v1</x:v>
      </x:c>
      <x:c r="H13" s="29" t="str">
        <x:v>2026-08-26</x:v>
      </x:c>
    </x:row>
  </x:sheetData>
  <x:pageMargins left="0.7" right="0.7" top="0.75" bottom="0.75" header="0.3" footer="0.3"/>
  <x:tableParts count="1">
    <x:tablePart xmlns:r="http://schemas.openxmlformats.org/officeDocument/2006/relationships" r:id="R3f669d406ee64f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7.219999313354492" hidden="0" customWidth="1"/>
    <x:col min="3" max="3" width="22.780000686645508" hidden="0" customWidth="1"/>
    <x:col min="4" max="4" width="26.110000610351562" hidden="0" customWidth="1"/>
    <x:col min="5" max="5" width="71.11000061035156" hidden="0" customWidth="1"/>
  </x:cols>
  <x:sheetData>
    <x:row r="1" ht="31.5" customHeight="1">
      <x:c r="A1" s="42" t="str">
        <x:v>input_file</x:v>
      </x:c>
      <x:c r="B1" s="42" t="str">
        <x:v>input_row_id</x:v>
      </x:c>
      <x:c r="C1" s="42" t="str">
        <x:v>decision</x:v>
      </x:c>
      <x:c r="D1" s="42" t="str">
        <x:v>retained_output_id</x:v>
      </x:c>
      <x:c r="E1" s="42" t="str">
        <x:v>reason</x:v>
      </x:c>
    </x:row>
    <x:row r="2">
      <x:c r="A2" s="29" t="str">
        <x:v>corpus_master.csv</x:v>
      </x:c>
      <x:c r="B2" s="29" t="str">
        <x:v>rt1</x:v>
      </x:c>
      <x:c r="C2" s="29" t="str">
        <x:v>excluded_unverified_record</x:v>
      </x:c>
      <x:c r="D2" s="29" t="str"/>
      <x:c r="E2" s="29" t="str">
        <x:v>Record is manuscript-derived and lacks record-level primary-source URL, locator, and field-level verification.</x:v>
      </x:c>
    </x:row>
    <x:row r="3">
      <x:c r="A3" s="29" t="str">
        <x:v>corpus_master.csv</x:v>
      </x:c>
      <x:c r="B3" s="29" t="str">
        <x:v>rt2</x:v>
      </x:c>
      <x:c r="C3" s="29" t="str">
        <x:v>excluded_unverified_record</x:v>
      </x:c>
      <x:c r="D3" s="29" t="str"/>
      <x:c r="E3" s="29" t="str">
        <x:v>Record is manuscript-derived and lacks record-level primary-source URL, locator, and field-level verification.</x:v>
      </x:c>
    </x:row>
    <x:row r="4">
      <x:c r="A4" s="29" t="str">
        <x:v>corpus_master.csv</x:v>
      </x:c>
      <x:c r="B4" s="29" t="str">
        <x:v>oxe</x:v>
      </x:c>
      <x:c r="C4" s="29" t="str">
        <x:v>excluded_unverified_record</x:v>
      </x:c>
      <x:c r="D4" s="29" t="str"/>
      <x:c r="E4" s="29" t="str">
        <x:v>Record is manuscript-derived and lacks record-level primary-source URL, locator, and field-level verification.</x:v>
      </x:c>
    </x:row>
    <x:row r="5">
      <x:c r="A5" s="29" t="str">
        <x:v>corpus_master.csv</x:v>
      </x:c>
      <x:c r="B5" s="29" t="str">
        <x:v>openvla</x:v>
      </x:c>
      <x:c r="C5" s="29" t="str">
        <x:v>excluded_unverified_record</x:v>
      </x:c>
      <x:c r="D5" s="29" t="str"/>
      <x:c r="E5" s="29" t="str">
        <x:v>Record is manuscript-derived and lacks record-level primary-source URL, locator, and field-level verification.</x:v>
      </x:c>
    </x:row>
    <x:row r="6">
      <x:c r="A6" s="29" t="str">
        <x:v>corpus_master.csv</x:v>
      </x:c>
      <x:c r="B6" s="29" t="str">
        <x:v>fast</x:v>
      </x:c>
      <x:c r="C6" s="29" t="str">
        <x:v>excluded_unverified_record</x:v>
      </x:c>
      <x:c r="D6" s="29" t="str"/>
      <x:c r="E6" s="29" t="str">
        <x:v>Record is manuscript-derived and lacks record-level primary-source URL, locator, and field-level verification.</x:v>
      </x:c>
    </x:row>
    <x:row r="7">
      <x:c r="A7" s="29" t="str">
        <x:v>corpus_master.csv</x:v>
      </x:c>
      <x:c r="B7" s="29" t="str">
        <x:v>openvlaoft</x:v>
      </x:c>
      <x:c r="C7" s="29" t="str">
        <x:v>excluded_unverified_record</x:v>
      </x:c>
      <x:c r="D7" s="29" t="str"/>
      <x:c r="E7" s="29" t="str">
        <x:v>Record is manuscript-derived and lacks record-level primary-source URL, locator, and field-level verification.</x:v>
      </x:c>
    </x:row>
    <x:row r="8">
      <x:c r="A8" s="29" t="str">
        <x:v>corpus_master.csv</x:v>
      </x:c>
      <x:c r="B8" s="29" t="str">
        <x:v>octo</x:v>
      </x:c>
      <x:c r="C8" s="29" t="str">
        <x:v>excluded_unverified_record</x:v>
      </x:c>
      <x:c r="D8" s="29" t="str"/>
      <x:c r="E8" s="29" t="str">
        <x:v>Record is manuscript-derived and lacks record-level primary-source URL, locator, and field-level verification.</x:v>
      </x:c>
    </x:row>
    <x:row r="9">
      <x:c r="A9" s="29" t="str">
        <x:v>corpus_master.csv</x:v>
      </x:c>
      <x:c r="B9" s="29" t="str">
        <x:v>pi0</x:v>
      </x:c>
      <x:c r="C9" s="29" t="str">
        <x:v>excluded_unverified_record</x:v>
      </x:c>
      <x:c r="D9" s="29" t="str"/>
      <x:c r="E9" s="29" t="str">
        <x:v>Record is manuscript-derived and lacks record-level primary-source URL, locator, and field-level verification.</x:v>
      </x:c>
    </x:row>
    <x:row r="10">
      <x:c r="A10" s="29" t="str">
        <x:v>corpus_master.csv</x:v>
      </x:c>
      <x:c r="B10" s="29" t="str">
        <x:v>rdt1b</x:v>
      </x:c>
      <x:c r="C10" s="29" t="str">
        <x:v>excluded_unverified_record</x:v>
      </x:c>
      <x:c r="D10" s="29" t="str"/>
      <x:c r="E10" s="29" t="str">
        <x:v>Record is manuscript-derived and lacks record-level primary-source URL, locator, and field-level verification.</x:v>
      </x:c>
    </x:row>
    <x:row r="11">
      <x:c r="A11" s="29" t="str">
        <x:v>corpus_master.csv</x:v>
      </x:c>
      <x:c r="B11" s="29" t="str">
        <x:v>groot</x:v>
      </x:c>
      <x:c r="C11" s="29" t="str">
        <x:v>excluded_unverified_record</x:v>
      </x:c>
      <x:c r="D11" s="29" t="str"/>
      <x:c r="E11" s="29" t="str">
        <x:v>Record is manuscript-derived and lacks record-level primary-source URL, locator, and field-level verification.</x:v>
      </x:c>
    </x:row>
    <x:row r="12">
      <x:c r="A12" s="29" t="str">
        <x:v>corpus_master.csv</x:v>
      </x:c>
      <x:c r="B12" s="29" t="str">
        <x:v>pi05</x:v>
      </x:c>
      <x:c r="C12" s="29" t="str">
        <x:v>excluded_unverified_record</x:v>
      </x:c>
      <x:c r="D12" s="29" t="str"/>
      <x:c r="E12" s="29" t="str">
        <x:v>Record is manuscript-derived and lacks record-level primary-source URL, locator, and field-level verification.</x:v>
      </x:c>
    </x:row>
    <x:row r="13">
      <x:c r="A13" s="29" t="str">
        <x:v>corpus_master.csv</x:v>
      </x:c>
      <x:c r="B13" s="29" t="str">
        <x:v>gr2</x:v>
      </x:c>
      <x:c r="C13" s="29" t="str">
        <x:v>excluded_unverified_record</x:v>
      </x:c>
      <x:c r="D13" s="29" t="str"/>
      <x:c r="E13" s="29" t="str">
        <x:v>Record is manuscript-derived and lacks record-level primary-source URL, locator, and field-level verification.</x:v>
      </x:c>
    </x:row>
    <x:row r="14">
      <x:c r="A14" s="29" t="str">
        <x:v>corpus_master.csv</x:v>
      </x:c>
      <x:c r="B14" s="29" t="str">
        <x:v>geminirobotics</x:v>
      </x:c>
      <x:c r="C14" s="29" t="str">
        <x:v>excluded_unverified_record</x:v>
      </x:c>
      <x:c r="D14" s="29" t="str"/>
      <x:c r="E14" s="29" t="str">
        <x:v>Record is manuscript-derived and lacks record-level primary-source URL, locator, and field-level verification.</x:v>
      </x:c>
    </x:row>
    <x:row r="15">
      <x:c r="A15" s="29" t="str">
        <x:v>corpus_master.csv</x:v>
      </x:c>
      <x:c r="B15" s="29" t="str">
        <x:v>helix</x:v>
      </x:c>
      <x:c r="C15" s="29" t="str">
        <x:v>excluded_unverified_record</x:v>
      </x:c>
      <x:c r="D15" s="29" t="str"/>
      <x:c r="E15" s="29" t="str">
        <x:v>Record is manuscript-derived and lacks record-level primary-source URL, locator, and field-level verification.</x:v>
      </x:c>
    </x:row>
    <x:row r="16">
      <x:c r="A16" s="29" t="str">
        <x:v>corpus_master.csv</x:v>
      </x:c>
      <x:c r="B16" s="29" t="str">
        <x:v>saycan</x:v>
      </x:c>
      <x:c r="C16" s="29" t="str">
        <x:v>excluded_unverified_record</x:v>
      </x:c>
      <x:c r="D16" s="29" t="str"/>
      <x:c r="E16" s="29" t="str">
        <x:v>Record is manuscript-derived and lacks record-level primary-source URL, locator, and field-level verification.</x:v>
      </x:c>
    </x:row>
    <x:row r="17">
      <x:c r="A17" s="29" t="str">
        <x:v>corpus_master.csv</x:v>
      </x:c>
      <x:c r="B17" s="29" t="str">
        <x:v>palme</x:v>
      </x:c>
      <x:c r="C17" s="29" t="str">
        <x:v>excluded_unverified_record</x:v>
      </x:c>
      <x:c r="D17" s="29" t="str"/>
      <x:c r="E17" s="29" t="str">
        <x:v>Record is manuscript-derived and lacks record-level primary-source URL, locator, and field-level verification.</x:v>
      </x:c>
    </x:row>
    <x:row r="18">
      <x:c r="A18" s="29" t="str">
        <x:v>corpus_master.csv</x:v>
      </x:c>
      <x:c r="B18" s="29" t="str">
        <x:v>hirobot</x:v>
      </x:c>
      <x:c r="C18" s="29" t="str">
        <x:v>excluded_unverified_record</x:v>
      </x:c>
      <x:c r="D18" s="29" t="str"/>
      <x:c r="E18" s="29" t="str">
        <x:v>Record is manuscript-derived and lacks record-level primary-source URL, locator, and field-level verification.</x:v>
      </x:c>
    </x:row>
    <x:row r="19">
      <x:c r="A19" s="29" t="str">
        <x:v>corpus_master.csv</x:v>
      </x:c>
      <x:c r="B19" s="29" t="str">
        <x:v>ecot</x:v>
      </x:c>
      <x:c r="C19" s="29" t="str">
        <x:v>excluded_unverified_record</x:v>
      </x:c>
      <x:c r="D19" s="29" t="str"/>
      <x:c r="E19" s="29" t="str">
        <x:v>Record is manuscript-derived and lacks record-level primary-source URL, locator, and field-level verification.</x:v>
      </x:c>
    </x:row>
    <x:row r="20">
      <x:c r="A20" s="29" t="str">
        <x:v>corpus_master.csv</x:v>
      </x:c>
      <x:c r="B20" s="29" t="str">
        <x:v>cotvla</x:v>
      </x:c>
      <x:c r="C20" s="29" t="str">
        <x:v>excluded_unverified_record</x:v>
      </x:c>
      <x:c r="D20" s="29" t="str"/>
      <x:c r="E20" s="29" t="str">
        <x:v>Record is manuscript-derived and lacks record-level primary-source URL, locator, and field-level verification.</x:v>
      </x:c>
    </x:row>
    <x:row r="21">
      <x:c r="A21" s="29" t="str">
        <x:v>corpus_master.csv</x:v>
      </x:c>
      <x:c r="B21" s="29" t="str">
        <x:v>gemini15</x:v>
      </x:c>
      <x:c r="C21" s="29" t="str">
        <x:v>excluded_unverified_record</x:v>
      </x:c>
      <x:c r="D21" s="29" t="str"/>
      <x:c r="E21" s="29" t="str">
        <x:v>Record is manuscript-derived and lacks record-level primary-source URL, locator, and field-level verification.</x:v>
      </x:c>
    </x:row>
    <x:row r="22">
      <x:c r="A22" s="29" t="str">
        <x:v>corpus_master.csv</x:v>
      </x:c>
      <x:c r="B22" s="29" t="str">
        <x:v>threedvla</x:v>
      </x:c>
      <x:c r="C22" s="29" t="str">
        <x:v>excluded_unverified_record</x:v>
      </x:c>
      <x:c r="D22" s="29" t="str"/>
      <x:c r="E22" s="29" t="str">
        <x:v>Record is manuscript-derived and lacks record-level primary-source URL, locator, and field-level verification.</x:v>
      </x:c>
    </x:row>
    <x:row r="23">
      <x:c r="A23" s="29" t="str">
        <x:v>corpus_master.csv</x:v>
      </x:c>
      <x:c r="B23" s="29" t="str">
        <x:v>spatialvla</x:v>
      </x:c>
      <x:c r="C23" s="29" t="str">
        <x:v>excluded_unverified_record</x:v>
      </x:c>
      <x:c r="D23" s="29" t="str"/>
      <x:c r="E23" s="29" t="str">
        <x:v>Record is manuscript-derived and lacks record-level primary-source URL, locator, and field-level verification.</x:v>
      </x:c>
    </x:row>
    <x:row r="24">
      <x:c r="A24" s="29" t="str">
        <x:v>corpus_master.csv</x:v>
      </x:c>
      <x:c r="B24" s="29" t="str">
        <x:v>graspvla</x:v>
      </x:c>
      <x:c r="C24" s="29" t="str">
        <x:v>excluded_unverified_record</x:v>
      </x:c>
      <x:c r="D24" s="29" t="str"/>
      <x:c r="E24" s="29" t="str">
        <x:v>Record is manuscript-derived and lacks record-level primary-source URL, locator, and field-level verification.</x:v>
      </x:c>
    </x:row>
    <x:row r="25">
      <x:c r="A25" s="29" t="str">
        <x:v>corpus_master.csv</x:v>
      </x:c>
      <x:c r="B25" s="29" t="str">
        <x:v>fp3</x:v>
      </x:c>
      <x:c r="C25" s="29" t="str">
        <x:v>excluded_unverified_record</x:v>
      </x:c>
      <x:c r="D25" s="29" t="str"/>
      <x:c r="E25" s="29" t="str">
        <x:v>Record is manuscript-derived and lacks record-level primary-source URL, locator, and field-level verification.</x:v>
      </x:c>
    </x:row>
    <x:row r="26">
      <x:c r="A26" s="29" t="str">
        <x:v>corpus_master.csv</x:v>
      </x:c>
      <x:c r="B26" s="29" t="str">
        <x:v>simplevlarl</x:v>
      </x:c>
      <x:c r="C26" s="29" t="str">
        <x:v>excluded_unverified_record</x:v>
      </x:c>
      <x:c r="D26" s="29" t="str"/>
      <x:c r="E26" s="29" t="str">
        <x:v>Record is manuscript-derived and lacks record-level primary-source URL, locator, and field-level verification.</x:v>
      </x:c>
    </x:row>
    <x:row r="27">
      <x:c r="A27" s="29" t="str">
        <x:v>corpus_master.csv</x:v>
      </x:c>
      <x:c r="B27" s="29" t="str">
        <x:v>riptvla</x:v>
      </x:c>
      <x:c r="C27" s="29" t="str">
        <x:v>excluded_unverified_record</x:v>
      </x:c>
      <x:c r="D27" s="29" t="str"/>
      <x:c r="E27" s="29" t="str">
        <x:v>Record is manuscript-derived and lacks record-level primary-source URL, locator, and field-level verification.</x:v>
      </x:c>
    </x:row>
    <x:row r="28">
      <x:c r="A28" s="29" t="str">
        <x:v>corpus_master.csv</x:v>
      </x:c>
      <x:c r="B28" s="29" t="str">
        <x:v>irevla</x:v>
      </x:c>
      <x:c r="C28" s="29" t="str">
        <x:v>excluded_unverified_record</x:v>
      </x:c>
      <x:c r="D28" s="29" t="str"/>
      <x:c r="E28" s="29" t="str">
        <x:v>Record is manuscript-derived and lacks record-level primary-source URL, locator, and field-level verification.</x:v>
      </x:c>
    </x:row>
    <x:row r="29">
      <x:c r="A29" s="29" t="str">
        <x:v>corpus_master.csv</x:v>
      </x:c>
      <x:c r="B29" s="29" t="str">
        <x:v>grape</x:v>
      </x:c>
      <x:c r="C29" s="29" t="str">
        <x:v>excluded_unverified_record</x:v>
      </x:c>
      <x:c r="D29" s="29" t="str"/>
      <x:c r="E29" s="29" t="str">
        <x:v>Record is manuscript-derived and lacks record-level primary-source URL, locator, and field-level verification.</x:v>
      </x:c>
    </x:row>
    <x:row r="30">
      <x:c r="A30" s="29" t="str">
        <x:v>corpus_master.csv</x:v>
      </x:c>
      <x:c r="B30" s="29" t="str">
        <x:v>flarerl</x:v>
      </x:c>
      <x:c r="C30" s="29" t="str">
        <x:v>excluded_unverified_record</x:v>
      </x:c>
      <x:c r="D30" s="29" t="str"/>
      <x:c r="E30" s="29" t="str">
        <x:v>Record is manuscript-derived and lacks record-level primary-source URL, locator, and field-level verification.</x:v>
      </x:c>
    </x:row>
    <x:row r="31">
      <x:c r="A31" s="29" t="str">
        <x:v>corpus_master.csv</x:v>
      </x:c>
      <x:c r="B31" s="29" t="str">
        <x:v>tinyvla</x:v>
      </x:c>
      <x:c r="C31" s="29" t="str">
        <x:v>excluded_unverified_record</x:v>
      </x:c>
      <x:c r="D31" s="29" t="str"/>
      <x:c r="E31" s="29" t="str">
        <x:v>Record is manuscript-derived and lacks record-level primary-source URL, locator, and field-level verification.</x:v>
      </x:c>
    </x:row>
    <x:row r="32">
      <x:c r="A32" s="29" t="str">
        <x:v>corpus_master.csv</x:v>
      </x:c>
      <x:c r="B32" s="29" t="str">
        <x:v>smolvla</x:v>
      </x:c>
      <x:c r="C32" s="29" t="str">
        <x:v>excluded_unverified_record</x:v>
      </x:c>
      <x:c r="D32" s="29" t="str"/>
      <x:c r="E32" s="29" t="str">
        <x:v>Record is manuscript-derived and lacks record-level primary-source URL, locator, and field-level verification.</x:v>
      </x:c>
    </x:row>
    <x:row r="33">
      <x:c r="A33" s="29" t="str">
        <x:v>corpus_master.csv</x:v>
      </x:c>
      <x:c r="B33" s="29" t="str">
        <x:v>bitvla</x:v>
      </x:c>
      <x:c r="C33" s="29" t="str">
        <x:v>excluded_unverified_record</x:v>
      </x:c>
      <x:c r="D33" s="29" t="str"/>
      <x:c r="E33" s="29" t="str">
        <x:v>Record is manuscript-derived and lacks record-level primary-source URL, locator, and field-level verification.</x:v>
      </x:c>
    </x:row>
    <x:row r="34">
      <x:c r="A34" s="29" t="str">
        <x:v>corpus_master.csv</x:v>
      </x:c>
      <x:c r="B34" s="29" t="str">
        <x:v>robomamba</x:v>
      </x:c>
      <x:c r="C34" s="29" t="str">
        <x:v>excluded_unverified_record</x:v>
      </x:c>
      <x:c r="D34" s="29" t="str"/>
      <x:c r="E34" s="29" t="str">
        <x:v>Record is manuscript-derived and lacks record-level primary-source URL, locator, and field-level verification.</x:v>
      </x:c>
    </x:row>
    <x:row r="35">
      <x:c r="A35" s="29" t="str">
        <x:v>corpus_master.csv</x:v>
      </x:c>
      <x:c r="B35" s="29" t="str">
        <x:v>pdvla</x:v>
      </x:c>
      <x:c r="C35" s="29" t="str">
        <x:v>excluded_unverified_record</x:v>
      </x:c>
      <x:c r="D35" s="29" t="str"/>
      <x:c r="E35" s="29" t="str">
        <x:v>Record is manuscript-derived and lacks record-level primary-source URL, locator, and field-level verification.</x:v>
      </x:c>
    </x:row>
    <x:row r="36">
      <x:c r="A36" s="29" t="str">
        <x:v>corpus_master.csv</x:v>
      </x:c>
      <x:c r="B36" s="29" t="str">
        <x:v>ceedvla</x:v>
      </x:c>
      <x:c r="C36" s="29" t="str">
        <x:v>excluded_unverified_record</x:v>
      </x:c>
      <x:c r="D36" s="29" t="str"/>
      <x:c r="E36" s="29" t="str">
        <x:v>Record is manuscript-derived and lacks record-level primary-source URL, locator, and field-level verification.</x:v>
      </x:c>
    </x:row>
    <x:row r="37">
      <x:c r="A37" s="29" t="str">
        <x:v>corpus_master.csv</x:v>
      </x:c>
      <x:c r="B37" s="29" t="str">
        <x:v>deervla</x:v>
      </x:c>
      <x:c r="C37" s="29" t="str">
        <x:v>excluded_unverified_record</x:v>
      </x:c>
      <x:c r="D37" s="29" t="str"/>
      <x:c r="E37" s="29" t="str">
        <x:v>Record is manuscript-derived and lacks record-level primary-source URL, locator, and field-level verification.</x:v>
      </x:c>
    </x:row>
    <x:row r="38">
      <x:c r="A38" s="29" t="str">
        <x:v>corpus_master.csv</x:v>
      </x:c>
      <x:c r="B38" s="29" t="str">
        <x:v>mobilityvla</x:v>
      </x:c>
      <x:c r="C38" s="29" t="str">
        <x:v>excluded_unverified_record</x:v>
      </x:c>
      <x:c r="D38" s="29" t="str"/>
      <x:c r="E38" s="29" t="str">
        <x:v>Record is manuscript-derived and lacks record-level primary-source URL, locator, and field-level verification.</x:v>
      </x:c>
    </x:row>
    <x:row r="39">
      <x:c r="A39" s="29" t="str">
        <x:v>corpus_master.csv</x:v>
      </x:c>
      <x:c r="B39" s="29" t="str">
        <x:v>lohovla</x:v>
      </x:c>
      <x:c r="C39" s="29" t="str">
        <x:v>excluded_unverified_record</x:v>
      </x:c>
      <x:c r="D39" s="29" t="str"/>
      <x:c r="E39" s="29" t="str">
        <x:v>Record is manuscript-derived and lacks record-level primary-source URL, locator, and field-level verification.</x:v>
      </x:c>
    </x:row>
    <x:row r="40">
      <x:c r="A40" s="29" t="str">
        <x:v>corpus_master.csv</x:v>
      </x:c>
      <x:c r="B40" s="29" t="str">
        <x:v>memoryvla</x:v>
      </x:c>
      <x:c r="C40" s="29" t="str">
        <x:v>excluded_unverified_record</x:v>
      </x:c>
      <x:c r="D40" s="29" t="str"/>
      <x:c r="E40" s="29" t="str">
        <x:v>Record is manuscript-derived and lacks record-level primary-source URL, locator, and field-level verification.</x:v>
      </x:c>
    </x:row>
    <x:row r="41">
      <x:c r="A41" s="29" t="str">
        <x:v>corpus_master.csv</x:v>
      </x:c>
      <x:c r="B41" s="29" t="str">
        <x:v>ddvla</x:v>
      </x:c>
      <x:c r="C41" s="29" t="str">
        <x:v>excluded_unverified_record</x:v>
      </x:c>
      <x:c r="D41" s="29" t="str"/>
      <x:c r="E41" s="29" t="str">
        <x:v>Record is manuscript-derived and lacks record-level primary-source URL, locator, and field-level verification.</x:v>
      </x:c>
    </x:row>
    <x:row r="42">
      <x:c r="A42" s="29" t="str">
        <x:v>corpus_master.csv</x:v>
      </x:c>
      <x:c r="B42" s="29" t="str">
        <x:v>forcevla</x:v>
      </x:c>
      <x:c r="C42" s="29" t="str">
        <x:v>excluded_unverified_record</x:v>
      </x:c>
      <x:c r="D42" s="29" t="str"/>
      <x:c r="E42" s="29" t="str">
        <x:v>Record is manuscript-derived and lacks record-level primary-source URL, locator, and field-level verification.</x:v>
      </x:c>
    </x:row>
    <x:row r="43">
      <x:c r="A43" s="29" t="str">
        <x:v>corpus_master.csv</x:v>
      </x:c>
      <x:c r="B43" s="29" t="str">
        <x:v>tactilevla</x:v>
      </x:c>
      <x:c r="C43" s="29" t="str">
        <x:v>excluded_unverified_record</x:v>
      </x:c>
      <x:c r="D43" s="29" t="str"/>
      <x:c r="E43" s="29" t="str">
        <x:v>Record is manuscript-derived and lacks record-level primary-source URL, locator, and field-level verification.</x:v>
      </x:c>
    </x:row>
    <x:row r="44">
      <x:c r="A44" s="29" t="str">
        <x:v>corpus_master.csv</x:v>
      </x:c>
      <x:c r="B44" s="29" t="str">
        <x:v>worldmodels2018</x:v>
      </x:c>
      <x:c r="C44" s="29" t="str">
        <x:v>excluded_unverified_record</x:v>
      </x:c>
      <x:c r="D44" s="29" t="str"/>
      <x:c r="E44" s="29" t="str">
        <x:v>Record is manuscript-derived and lacks record-level primary-source URL, locator, and field-level verification.</x:v>
      </x:c>
    </x:row>
    <x:row r="45">
      <x:c r="A45" s="29" t="str">
        <x:v>corpus_master.csv</x:v>
      </x:c>
      <x:c r="B45" s="29" t="str">
        <x:v>planet</x:v>
      </x:c>
      <x:c r="C45" s="29" t="str">
        <x:v>excluded_unverified_record</x:v>
      </x:c>
      <x:c r="D45" s="29" t="str"/>
      <x:c r="E45" s="29" t="str">
        <x:v>Record is manuscript-derived and lacks record-level primary-source URL, locator, and field-level verification.</x:v>
      </x:c>
    </x:row>
    <x:row r="46">
      <x:c r="A46" s="29" t="str">
        <x:v>corpus_master.csv</x:v>
      </x:c>
      <x:c r="B46" s="29" t="str">
        <x:v>dreamerv3</x:v>
      </x:c>
      <x:c r="C46" s="29" t="str">
        <x:v>excluded_unverified_record</x:v>
      </x:c>
      <x:c r="D46" s="29" t="str"/>
      <x:c r="E46" s="29" t="str">
        <x:v>Record is manuscript-derived and lacks record-level primary-source URL, locator, and field-level verification.</x:v>
      </x:c>
    </x:row>
    <x:row r="47">
      <x:c r="A47" s="29" t="str">
        <x:v>corpus_master.csv</x:v>
      </x:c>
      <x:c r="B47" s="29" t="str">
        <x:v>tdmpc2</x:v>
      </x:c>
      <x:c r="C47" s="29" t="str">
        <x:v>excluded_unverified_record</x:v>
      </x:c>
      <x:c r="D47" s="29" t="str"/>
      <x:c r="E47" s="29" t="str">
        <x:v>Record is manuscript-derived and lacks record-level primary-source URL, locator, and field-level verification.</x:v>
      </x:c>
    </x:row>
    <x:row r="48">
      <x:c r="A48" s="29" t="str">
        <x:v>corpus_master.csv</x:v>
      </x:c>
      <x:c r="B48" s="29" t="str">
        <x:v>dreamer4</x:v>
      </x:c>
      <x:c r="C48" s="29" t="str">
        <x:v>excluded_unverified_record</x:v>
      </x:c>
      <x:c r="D48" s="29" t="str"/>
      <x:c r="E48" s="29" t="str">
        <x:v>Record is manuscript-derived and lacks record-level primary-source URL, locator, and field-level verification.</x:v>
      </x:c>
    </x:row>
    <x:row r="49">
      <x:c r="A49" s="29" t="str">
        <x:v>corpus_master.csv</x:v>
      </x:c>
      <x:c r="B49" s="29" t="str">
        <x:v>unipi</x:v>
      </x:c>
      <x:c r="C49" s="29" t="str">
        <x:v>excluded_unverified_record</x:v>
      </x:c>
      <x:c r="D49" s="29" t="str"/>
      <x:c r="E49" s="29" t="str">
        <x:v>Record is manuscript-derived and lacks record-level primary-source URL, locator, and field-level verification.</x:v>
      </x:c>
    </x:row>
    <x:row r="50">
      <x:c r="A50" s="29" t="str">
        <x:v>corpus_master.csv</x:v>
      </x:c>
      <x:c r="B50" s="29" t="str">
        <x:v>unisim</x:v>
      </x:c>
      <x:c r="C50" s="29" t="str">
        <x:v>excluded_unverified_record</x:v>
      </x:c>
      <x:c r="D50" s="29" t="str"/>
      <x:c r="E50" s="29" t="str">
        <x:v>Record is manuscript-derived and lacks record-level primary-source URL, locator, and field-level verification.</x:v>
      </x:c>
    </x:row>
    <x:row r="51">
      <x:c r="A51" s="29" t="str">
        <x:v>corpus_master.csv</x:v>
      </x:c>
      <x:c r="B51" s="29" t="str">
        <x:v>gr1</x:v>
      </x:c>
      <x:c r="C51" s="29" t="str">
        <x:v>excluded_unverified_record</x:v>
      </x:c>
      <x:c r="D51" s="29" t="str"/>
      <x:c r="E51" s="29" t="str">
        <x:v>Record is manuscript-derived and lacks record-level primary-source URL, locator, and field-level verification.</x:v>
      </x:c>
    </x:row>
    <x:row r="52">
      <x:c r="A52" s="29" t="str">
        <x:v>corpus_master.csv</x:v>
      </x:c>
      <x:c r="B52" s="29" t="str">
        <x:v>cosmos</x:v>
      </x:c>
      <x:c r="C52" s="29" t="str">
        <x:v>excluded_unverified_record</x:v>
      </x:c>
      <x:c r="D52" s="29" t="str"/>
      <x:c r="E52" s="29" t="str">
        <x:v>Record is manuscript-derived and lacks record-level primary-source URL, locator, and field-level verification.</x:v>
      </x:c>
    </x:row>
    <x:row r="53">
      <x:c r="A53" s="29" t="str">
        <x:v>corpus_master.csv</x:v>
      </x:c>
      <x:c r="B53" s="29" t="str">
        <x:v>genie3</x:v>
      </x:c>
      <x:c r="C53" s="29" t="str">
        <x:v>excluded_unverified_record</x:v>
      </x:c>
      <x:c r="D53" s="29" t="str"/>
      <x:c r="E53" s="29" t="str">
        <x:v>Record is manuscript-derived and lacks record-level primary-source URL, locator, and field-level verification.</x:v>
      </x:c>
    </x:row>
    <x:row r="54">
      <x:c r="A54" s="29" t="str">
        <x:v>corpus_master.csv</x:v>
      </x:c>
      <x:c r="B54" s="29" t="str">
        <x:v>genieenvisioner</x:v>
      </x:c>
      <x:c r="C54" s="29" t="str">
        <x:v>excluded_unverified_record</x:v>
      </x:c>
      <x:c r="D54" s="29" t="str"/>
      <x:c r="E54" s="29" t="str">
        <x:v>Record is manuscript-derived and lacks record-level primary-source URL, locator, and field-level verification.</x:v>
      </x:c>
    </x:row>
    <x:row r="55">
      <x:c r="A55" s="29" t="str">
        <x:v>corpus_master.csv</x:v>
      </x:c>
      <x:c r="B55" s="29" t="str">
        <x:v>vjepa2</x:v>
      </x:c>
      <x:c r="C55" s="29" t="str">
        <x:v>excluded_unverified_record</x:v>
      </x:c>
      <x:c r="D55" s="29" t="str"/>
      <x:c r="E55" s="29" t="str">
        <x:v>Record is manuscript-derived and lacks record-level primary-source URL, locator, and field-level verification.</x:v>
      </x:c>
    </x:row>
    <x:row r="56">
      <x:c r="A56" s="29" t="str">
        <x:v>corpus_master.csv</x:v>
      </x:c>
      <x:c r="B56" s="29" t="str">
        <x:v>dinowm</x:v>
      </x:c>
      <x:c r="C56" s="29" t="str">
        <x:v>excluded_unverified_record</x:v>
      </x:c>
      <x:c r="D56" s="29" t="str"/>
      <x:c r="E56" s="29" t="str">
        <x:v>Record is manuscript-derived and lacks record-level primary-source URL, locator, and field-level verification.</x:v>
      </x:c>
    </x:row>
    <x:row r="57">
      <x:c r="A57" s="29" t="str">
        <x:v>corpus_master.csv</x:v>
      </x:c>
      <x:c r="B57" s="29" t="str">
        <x:v>jepavla</x:v>
      </x:c>
      <x:c r="C57" s="29" t="str">
        <x:v>excluded_unverified_record</x:v>
      </x:c>
      <x:c r="D57" s="29" t="str"/>
      <x:c r="E57" s="29" t="str">
        <x:v>Record is manuscript-derived and lacks record-level primary-source URL, locator, and field-level verification.</x:v>
      </x:c>
    </x:row>
    <x:row r="58">
      <x:c r="A58" s="29" t="str">
        <x:v>corpus_master.csv</x:v>
      </x:c>
      <x:c r="B58" s="29" t="str">
        <x:v>lawam</x:v>
      </x:c>
      <x:c r="C58" s="29" t="str">
        <x:v>excluded_unverified_record</x:v>
      </x:c>
      <x:c r="D58" s="29" t="str"/>
      <x:c r="E58" s="29" t="str">
        <x:v>Record is manuscript-derived and lacks record-level primary-source URL, locator, and field-level verification.</x:v>
      </x:c>
    </x:row>
    <x:row r="59">
      <x:c r="A59" s="29" t="str">
        <x:v>corpus_master.csv</x:v>
      </x:c>
      <x:c r="B59" s="29" t="str">
        <x:v>tesseract</x:v>
      </x:c>
      <x:c r="C59" s="29" t="str">
        <x:v>excluded_unverified_record</x:v>
      </x:c>
      <x:c r="D59" s="29" t="str"/>
      <x:c r="E59" s="29" t="str">
        <x:v>Record is manuscript-derived and lacks record-level primary-source URL, locator, and field-level verification.</x:v>
      </x:c>
    </x:row>
    <x:row r="60">
      <x:c r="A60" s="29" t="str">
        <x:v>corpus_master.csv</x:v>
      </x:c>
      <x:c r="B60" s="29" t="str">
        <x:v>gaussianworld</x:v>
      </x:c>
      <x:c r="C60" s="29" t="str">
        <x:v>excluded_unverified_record</x:v>
      </x:c>
      <x:c r="D60" s="29" t="str"/>
      <x:c r="E60" s="29" t="str">
        <x:v>Record is manuscript-derived and lacks record-level primary-source URL, locator, and field-level verification.</x:v>
      </x:c>
    </x:row>
    <x:row r="61">
      <x:c r="A61" s="29" t="str">
        <x:v>corpus_master.csv</x:v>
      </x:c>
      <x:c r="B61" s="29" t="str">
        <x:v>manigaussian</x:v>
      </x:c>
      <x:c r="C61" s="29" t="str">
        <x:v>excluded_unverified_record</x:v>
      </x:c>
      <x:c r="D61" s="29" t="str"/>
      <x:c r="E61" s="29" t="str">
        <x:v>Record is manuscript-derived and lacks record-level primary-source URL, locator, and field-level verification.</x:v>
      </x:c>
    </x:row>
    <x:row r="62">
      <x:c r="A62" s="29" t="str">
        <x:v>corpus_master.csv</x:v>
      </x:c>
      <x:c r="B62" s="29" t="str">
        <x:v>physdreamer</x:v>
      </x:c>
      <x:c r="C62" s="29" t="str">
        <x:v>excluded_unverified_record</x:v>
      </x:c>
      <x:c r="D62" s="29" t="str"/>
      <x:c r="E62" s="29" t="str">
        <x:v>Record is manuscript-derived and lacks record-level primary-source URL, locator, and field-level verification.</x:v>
      </x:c>
    </x:row>
    <x:row r="63">
      <x:c r="A63" s="29" t="str">
        <x:v>corpus_master.csv</x:v>
      </x:c>
      <x:c r="B63" s="29" t="str">
        <x:v>dreamtac</x:v>
      </x:c>
      <x:c r="C63" s="29" t="str">
        <x:v>excluded_unverified_record</x:v>
      </x:c>
      <x:c r="D63" s="29" t="str"/>
      <x:c r="E63" s="29" t="str">
        <x:v>Record is manuscript-derived and lacks record-level primary-source URL, locator, and field-level verification.</x:v>
      </x:c>
    </x:row>
    <x:row r="64">
      <x:c r="A64" s="29" t="str">
        <x:v>corpus_master.csv</x:v>
      </x:c>
      <x:c r="B64" s="29" t="str">
        <x:v>touchworld</x:v>
      </x:c>
      <x:c r="C64" s="29" t="str">
        <x:v>excluded_unverified_record</x:v>
      </x:c>
      <x:c r="D64" s="29" t="str"/>
      <x:c r="E64" s="29" t="str">
        <x:v>Record is manuscript-derived and lacks record-level primary-source URL, locator, and field-level verification.</x:v>
      </x:c>
    </x:row>
    <x:row r="65">
      <x:c r="A65" s="29" t="str">
        <x:v>corpus_master.csv</x:v>
      </x:c>
      <x:c r="B65" s="29" t="str">
        <x:v>rwm</x:v>
      </x:c>
      <x:c r="C65" s="29" t="str">
        <x:v>excluded_unverified_record</x:v>
      </x:c>
      <x:c r="D65" s="29" t="str"/>
      <x:c r="E65" s="29" t="str">
        <x:v>Record is manuscript-derived and lacks record-level primary-source URL, locator, and field-level verification.</x:v>
      </x:c>
    </x:row>
    <x:row r="66">
      <x:c r="A66" s="29" t="str">
        <x:v>corpus_master.csv</x:v>
      </x:c>
      <x:c r="B66" s="29" t="str">
        <x:v>dreamgen</x:v>
      </x:c>
      <x:c r="C66" s="29" t="str">
        <x:v>excluded_unverified_record</x:v>
      </x:c>
      <x:c r="D66" s="29" t="str"/>
      <x:c r="E66" s="29" t="str">
        <x:v>Record is manuscript-derived and lacks record-level primary-source URL, locator, and field-level verification.</x:v>
      </x:c>
    </x:row>
    <x:row r="67">
      <x:c r="A67" s="29" t="str">
        <x:v>corpus_master.csv</x:v>
      </x:c>
      <x:c r="B67" s="29" t="str">
        <x:v>policyeval</x:v>
      </x:c>
      <x:c r="C67" s="29" t="str">
        <x:v>excluded_unverified_record</x:v>
      </x:c>
      <x:c r="D67" s="29" t="str"/>
      <x:c r="E67" s="29" t="str">
        <x:v>Record is manuscript-derived and lacks record-level primary-source URL, locator, and field-level verification.</x:v>
      </x:c>
    </x:row>
    <x:row r="68">
      <x:c r="A68" s="29" t="str">
        <x:v>corpus_master.csv</x:v>
      </x:c>
      <x:c r="B68" s="29" t="str">
        <x:v>unifolm</x:v>
      </x:c>
      <x:c r="C68" s="29" t="str">
        <x:v>excluded_unverified_record</x:v>
      </x:c>
      <x:c r="D68" s="29" t="str"/>
      <x:c r="E68" s="29" t="str">
        <x:v>Record is manuscript-derived and lacks record-level primary-source URL, locator, and field-level verification.</x:v>
      </x:c>
    </x:row>
    <x:row r="69">
      <x:c r="A69" s="29" t="str">
        <x:v>corpus_master.csv</x:v>
      </x:c>
      <x:c r="B69" s="29" t="str">
        <x:v>worldgymnast</x:v>
      </x:c>
      <x:c r="C69" s="29" t="str">
        <x:v>excluded_unverified_record</x:v>
      </x:c>
      <x:c r="D69" s="29" t="str"/>
      <x:c r="E69" s="29" t="str">
        <x:v>Record is manuscript-derived and lacks record-level primary-source URL, locator, and field-level verification.</x:v>
      </x:c>
    </x:row>
    <x:row r="70">
      <x:c r="A70" s="29" t="str">
        <x:v>corpus_master.csv</x:v>
      </x:c>
      <x:c r="B70" s="29" t="str">
        <x:v>ivideogpt</x:v>
      </x:c>
      <x:c r="C70" s="29" t="str">
        <x:v>excluded_unverified_record</x:v>
      </x:c>
      <x:c r="D70" s="29" t="str"/>
      <x:c r="E70" s="29" t="str">
        <x:v>Record is manuscript-derived and lacks record-level primary-source URL, locator, and field-level verification.</x:v>
      </x:c>
    </x:row>
    <x:row r="71">
      <x:c r="A71" s="29" t="str">
        <x:v>corpus_master.csv</x:v>
      </x:c>
      <x:c r="B71" s="29" t="str">
        <x:v>avdc</x:v>
      </x:c>
      <x:c r="C71" s="29" t="str">
        <x:v>excluded_unverified_record</x:v>
      </x:c>
      <x:c r="D71" s="29" t="str"/>
      <x:c r="E71" s="29" t="str">
        <x:v>Record is manuscript-derived and lacks record-level primary-source URL, locator, and field-level verification.</x:v>
      </x:c>
    </x:row>
    <x:row r="72">
      <x:c r="A72" s="29" t="str">
        <x:v>corpus_master.csv</x:v>
      </x:c>
      <x:c r="B72" s="29" t="str">
        <x:v>susie</x:v>
      </x:c>
      <x:c r="C72" s="29" t="str">
        <x:v>excluded_unverified_record</x:v>
      </x:c>
      <x:c r="D72" s="29" t="str"/>
      <x:c r="E72" s="29" t="str">
        <x:v>Record is manuscript-derived and lacks record-level primary-source URL, locator, and field-level verification.</x:v>
      </x:c>
    </x:row>
    <x:row r="73">
      <x:c r="A73" s="29" t="str">
        <x:v>corpus_master.csv</x:v>
      </x:c>
      <x:c r="B73" s="29" t="str">
        <x:v>vlp</x:v>
      </x:c>
      <x:c r="C73" s="29" t="str">
        <x:v>excluded_unverified_record</x:v>
      </x:c>
      <x:c r="D73" s="29" t="str"/>
      <x:c r="E73" s="29" t="str">
        <x:v>Record is manuscript-derived and lacks record-level primary-source URL, locator, and field-level verification.</x:v>
      </x:c>
    </x:row>
    <x:row r="74">
      <x:c r="A74" s="29" t="str">
        <x:v>corpus_master.csv</x:v>
      </x:c>
      <x:c r="B74" s="29" t="str">
        <x:v>worldvla</x:v>
      </x:c>
      <x:c r="C74" s="29" t="str">
        <x:v>excluded_unverified_record</x:v>
      </x:c>
      <x:c r="D74" s="29" t="str"/>
      <x:c r="E74" s="29" t="str">
        <x:v>Record is manuscript-derived and lacks record-level primary-source URL, locator, and field-level verification.</x:v>
      </x:c>
    </x:row>
    <x:row r="75">
      <x:c r="A75" s="29" t="str">
        <x:v>corpus_master.csv</x:v>
      </x:c>
      <x:c r="B75" s="29" t="str">
        <x:v>flarewm</x:v>
      </x:c>
      <x:c r="C75" s="29" t="str">
        <x:v>excluded_unverified_record</x:v>
      </x:c>
      <x:c r="D75" s="29" t="str"/>
      <x:c r="E75" s="29" t="str">
        <x:v>Record is manuscript-derived and lacks record-level primary-source URL, locator, and field-level verification.</x:v>
      </x:c>
    </x:row>
    <x:row r="76">
      <x:c r="A76" s="29" t="str">
        <x:v>corpus_master.csv</x:v>
      </x:c>
      <x:c r="B76" s="29" t="str">
        <x:v>dreamvla</x:v>
      </x:c>
      <x:c r="C76" s="29" t="str">
        <x:v>excluded_unverified_record</x:v>
      </x:c>
      <x:c r="D76" s="29" t="str"/>
      <x:c r="E76" s="29" t="str">
        <x:v>Record is manuscript-derived and lacks record-level primary-source URL, locator, and field-level verification.</x:v>
      </x:c>
    </x:row>
    <x:row r="77">
      <x:c r="A77" s="29" t="str">
        <x:v>corpus_master.csv</x:v>
      </x:c>
      <x:c r="B77" s="29" t="str">
        <x:v>cosmospolicy</x:v>
      </x:c>
      <x:c r="C77" s="29" t="str">
        <x:v>excluded_unverified_record</x:v>
      </x:c>
      <x:c r="D77" s="29" t="str"/>
      <x:c r="E77" s="29" t="str">
        <x:v>Record is manuscript-derived and lacks record-level primary-source URL, locator, and field-level verification.</x:v>
      </x:c>
    </x:row>
    <x:row r="78">
      <x:c r="A78" s="29" t="str">
        <x:v>corpus_master.csv</x:v>
      </x:c>
      <x:c r="B78" s="29" t="str">
        <x:v>structvla</x:v>
      </x:c>
      <x:c r="C78" s="29" t="str">
        <x:v>excluded_unverified_record</x:v>
      </x:c>
      <x:c r="D78" s="29" t="str"/>
      <x:c r="E78" s="29" t="str">
        <x:v>Record is manuscript-derived and lacks record-level primary-source URL, locator, and field-level verification.</x:v>
      </x:c>
    </x:row>
    <x:row r="79">
      <x:c r="A79" s="29" t="str">
        <x:v>corpus_master.csv</x:v>
      </x:c>
      <x:c r="B79" s="29" t="str">
        <x:v>harmowam</x:v>
      </x:c>
      <x:c r="C79" s="29" t="str">
        <x:v>excluded_unverified_record</x:v>
      </x:c>
      <x:c r="D79" s="29" t="str"/>
      <x:c r="E79" s="29" t="str">
        <x:v>Record is manuscript-derived and lacks record-level primary-source URL, locator, and field-level verification.</x:v>
      </x:c>
    </x:row>
    <x:row r="80">
      <x:c r="A80" s="29" t="str">
        <x:v>corpus_master.csv</x:v>
      </x:c>
      <x:c r="B80" s="29" t="str">
        <x:v>grootn15</x:v>
      </x:c>
      <x:c r="C80" s="29" t="str">
        <x:v>excluded_unverified_record</x:v>
      </x:c>
      <x:c r="D80" s="29" t="str"/>
      <x:c r="E80" s="29" t="str">
        <x:v>Record is manuscript-derived and lacks record-level primary-source URL, locator, and field-level verification.</x:v>
      </x:c>
    </x:row>
    <x:row r="81">
      <x:c r="A81" s="29" t="str">
        <x:v>corpus_master.csv</x:v>
      </x:c>
      <x:c r="B81" s="29" t="str">
        <x:v>liu2023libero</x:v>
      </x:c>
      <x:c r="C81" s="29" t="str">
        <x:v>excluded_unverified_record</x:v>
      </x:c>
      <x:c r="D81" s="29" t="str"/>
      <x:c r="E81" s="29" t="str">
        <x:v>Record is manuscript-derived and lacks record-level primary-source URL, locator, and field-level verification.</x:v>
      </x:c>
    </x:row>
    <x:row r="82">
      <x:c r="A82" s="29" t="str">
        <x:v>corpus_master.csv</x:v>
      </x:c>
      <x:c r="B82" s="29" t="str">
        <x:v>liberoplus</x:v>
      </x:c>
      <x:c r="C82" s="29" t="str">
        <x:v>excluded_unverified_record</x:v>
      </x:c>
      <x:c r="D82" s="29" t="str"/>
      <x:c r="E82" s="29" t="str">
        <x:v>Record is manuscript-derived and lacks record-level primary-source URL, locator, and field-level verification.</x:v>
      </x:c>
    </x:row>
    <x:row r="83">
      <x:c r="A83" s="29" t="str">
        <x:v>corpus_master.csv</x:v>
      </x:c>
      <x:c r="B83" s="29" t="str">
        <x:v>safelibero</x:v>
      </x:c>
      <x:c r="C83" s="29" t="str">
        <x:v>excluded_unverified_record</x:v>
      </x:c>
      <x:c r="D83" s="29" t="str"/>
      <x:c r="E83" s="29" t="str">
        <x:v>Record is manuscript-derived and lacks record-level primary-source URL, locator, and field-level verification.</x:v>
      </x:c>
    </x:row>
    <x:row r="84">
      <x:c r="A84" s="29" t="str">
        <x:v>corpus_master.csv</x:v>
      </x:c>
      <x:c r="B84" s="29" t="str">
        <x:v>simplerenv</x:v>
      </x:c>
      <x:c r="C84" s="29" t="str">
        <x:v>excluded_unverified_record</x:v>
      </x:c>
      <x:c r="D84" s="29" t="str"/>
      <x:c r="E84" s="29" t="str">
        <x:v>Record is manuscript-derived and lacks record-level primary-source URL, locator, and field-level verification.</x:v>
      </x:c>
    </x:row>
    <x:row r="85">
      <x:c r="A85" s="29" t="str">
        <x:v>corpus_master.csv</x:v>
      </x:c>
      <x:c r="B85" s="29" t="str">
        <x:v>calvin</x:v>
      </x:c>
      <x:c r="C85" s="29" t="str">
        <x:v>excluded_unverified_record</x:v>
      </x:c>
      <x:c r="D85" s="29" t="str"/>
      <x:c r="E85" s="29" t="str">
        <x:v>Record is manuscript-derived and lacks record-level primary-source URL, locator, and field-level verification.</x:v>
      </x:c>
    </x:row>
    <x:row r="86">
      <x:c r="A86" s="29" t="str">
        <x:v>corpus_master.csv</x:v>
      </x:c>
      <x:c r="B86" s="29" t="str">
        <x:v>rlbench</x:v>
      </x:c>
      <x:c r="C86" s="29" t="str">
        <x:v>excluded_unverified_record</x:v>
      </x:c>
      <x:c r="D86" s="29" t="str"/>
      <x:c r="E86" s="29" t="str">
        <x:v>Record is manuscript-derived and lacks record-level primary-source URL, locator, and field-level verification.</x:v>
      </x:c>
    </x:row>
    <x:row r="87">
      <x:c r="A87" s="29" t="str">
        <x:v>corpus_master.csv</x:v>
      </x:c>
      <x:c r="B87" s="29" t="str">
        <x:v>maniskill3</x:v>
      </x:c>
      <x:c r="C87" s="29" t="str">
        <x:v>excluded_unverified_record</x:v>
      </x:c>
      <x:c r="D87" s="29" t="str"/>
      <x:c r="E87" s="29" t="str">
        <x:v>Record is manuscript-derived and lacks record-level primary-source URL, locator, and field-level verification.</x:v>
      </x:c>
    </x:row>
    <x:row r="88">
      <x:c r="A88" s="29" t="str">
        <x:v>corpus_master.csv</x:v>
      </x:c>
      <x:c r="B88" s="29" t="str">
        <x:v>robocasa</x:v>
      </x:c>
      <x:c r="C88" s="29" t="str">
        <x:v>excluded_unverified_record</x:v>
      </x:c>
      <x:c r="D88" s="29" t="str"/>
      <x:c r="E88" s="29" t="str">
        <x:v>Record is manuscript-derived and lacks record-level primary-source URL, locator, and field-level verification.</x:v>
      </x:c>
    </x:row>
    <x:row r="89">
      <x:c r="A89" s="29" t="str">
        <x:v>corpus_master.csv</x:v>
      </x:c>
      <x:c r="B89" s="29" t="str">
        <x:v>metaworld</x:v>
      </x:c>
      <x:c r="C89" s="29" t="str">
        <x:v>excluded_unverified_record</x:v>
      </x:c>
      <x:c r="D89" s="29" t="str"/>
      <x:c r="E89" s="29" t="str">
        <x:v>Record is manuscript-derived and lacks record-level primary-source URL, locator, and field-level verification.</x:v>
      </x:c>
    </x:row>
    <x:row r="90">
      <x:c r="A90" s="29" t="str">
        <x:v>corpus_master.csv</x:v>
      </x:c>
      <x:c r="B90" s="29" t="str">
        <x:v>roboarena</x:v>
      </x:c>
      <x:c r="C90" s="29" t="str">
        <x:v>excluded_unverified_record</x:v>
      </x:c>
      <x:c r="D90" s="29" t="str"/>
      <x:c r="E90" s="29" t="str">
        <x:v>Record is manuscript-derived and lacks record-level primary-source URL, locator, and field-level verification.</x:v>
      </x:c>
    </x:row>
    <x:row r="91">
      <x:c r="A91" s="29" t="str">
        <x:v>corpus_master.csv</x:v>
      </x:c>
      <x:c r="B91" s="29" t="str">
        <x:v>polaris</x:v>
      </x:c>
      <x:c r="C91" s="29" t="str">
        <x:v>excluded_unverified_record</x:v>
      </x:c>
      <x:c r="D91" s="29" t="str"/>
      <x:c r="E91" s="29" t="str">
        <x:v>Record is manuscript-derived and lacks record-level primary-source URL, locator, and field-level verification.</x:v>
      </x:c>
    </x:row>
    <x:row r="92">
      <x:c r="A92" s="29" t="str">
        <x:v>corpus_master.csv</x:v>
      </x:c>
      <x:c r="B92" s="29" t="str">
        <x:v>wmbench</x:v>
      </x:c>
      <x:c r="C92" s="29" t="str">
        <x:v>excluded_unverified_record</x:v>
      </x:c>
      <x:c r="D92" s="29" t="str"/>
      <x:c r="E92" s="29" t="str">
        <x:v>Record is manuscript-derived and lacks record-level primary-source URL, locator, and field-level verification.</x:v>
      </x:c>
    </x:row>
    <x:row r="93">
      <x:c r="A93" s="29" t="str">
        <x:v>corpus_master.csv</x:v>
      </x:c>
      <x:c r="B93" s="29" t="str">
        <x:v>physicsiq</x:v>
      </x:c>
      <x:c r="C93" s="29" t="str">
        <x:v>excluded_unverified_record</x:v>
      </x:c>
      <x:c r="D93" s="29" t="str"/>
      <x:c r="E93" s="29" t="str">
        <x:v>Record is manuscript-derived and lacks record-level primary-source URL, locator, and field-level verification.</x:v>
      </x:c>
    </x:row>
    <x:row r="94">
      <x:c r="A94" s="29" t="str">
        <x:v>corpus_master.csv</x:v>
      </x:c>
      <x:c r="B94" s="29" t="str">
        <x:v>vbench2</x:v>
      </x:c>
      <x:c r="C94" s="29" t="str">
        <x:v>excluded_unverified_record</x:v>
      </x:c>
      <x:c r="D94" s="29" t="str"/>
      <x:c r="E94" s="29" t="str">
        <x:v>Record is manuscript-derived and lacks record-level primary-source URL, locator, and field-level verification.</x:v>
      </x:c>
    </x:row>
    <x:row r="95">
      <x:c r="A95" s="29" t="str">
        <x:v>corpus_master.csv</x:v>
      </x:c>
      <x:c r="B95" s="29" t="str">
        <x:v>worldarena</x:v>
      </x:c>
      <x:c r="C95" s="29" t="str">
        <x:v>excluded_unverified_record</x:v>
      </x:c>
      <x:c r="D95" s="29" t="str"/>
      <x:c r="E95" s="29" t="str">
        <x:v>Record is manuscript-derived and lacks record-level primary-source URL, locator, and field-level verification.</x:v>
      </x:c>
    </x:row>
    <x:row r="96">
      <x:c r="A96" s="29" t="str">
        <x:v>corpus_master.csv</x:v>
      </x:c>
      <x:c r="B96" s="29" t="str">
        <x:v>maniparena</x:v>
      </x:c>
      <x:c r="C96" s="29" t="str">
        <x:v>excluded_unverified_record</x:v>
      </x:c>
      <x:c r="D96" s="29" t="str"/>
      <x:c r="E96" s="29" t="str">
        <x:v>Record is manuscript-derived and lacks record-level primary-source URL, locator, and field-level verification.</x:v>
      </x:c>
    </x:row>
    <x:row r="97">
      <x:c r="A97" s="29" t="str">
        <x:v>corpus_master.csv</x:v>
      </x:c>
      <x:c r="B97" s="29" t="str">
        <x:v>vlaharness</x:v>
      </x:c>
      <x:c r="C97" s="29" t="str">
        <x:v>excluded_unverified_record</x:v>
      </x:c>
      <x:c r="D97" s="29" t="str"/>
      <x:c r="E97" s="29" t="str">
        <x:v>Record is manuscript-derived and lacks record-level primary-source URL, locator, and field-level verification.</x:v>
      </x:c>
    </x:row>
    <x:row r="98">
      <x:c r="A98" s="29" t="str">
        <x:v>corpus_master.csv</x:v>
      </x:c>
      <x:c r="B98" s="29" t="str">
        <x:v>mimicgen</x:v>
      </x:c>
      <x:c r="C98" s="29" t="str">
        <x:v>excluded_unverified_record</x:v>
      </x:c>
      <x:c r="D98" s="29" t="str"/>
      <x:c r="E98" s="29" t="str">
        <x:v>Record is manuscript-derived and lacks record-level primary-source URL, locator, and field-level verification.</x:v>
      </x:c>
    </x:row>
    <x:row r="99">
      <x:c r="A99" s="29" t="str">
        <x:v>corpus_master.csv</x:v>
      </x:c>
      <x:c r="B99" s="29" t="str">
        <x:v>behavior1k</x:v>
      </x:c>
      <x:c r="C99" s="29" t="str">
        <x:v>excluded_unverified_record</x:v>
      </x:c>
      <x:c r="D99" s="29" t="str"/>
      <x:c r="E99" s="29" t="str">
        <x:v>Record is manuscript-derived and lacks record-level primary-source URL, locator, and field-level verification.</x:v>
      </x:c>
    </x:row>
    <x:row r="100">
      <x:c r="A100" s="29" t="str">
        <x:v>corpus_master.csv</x:v>
      </x:c>
      <x:c r="B100" s="29" t="str">
        <x:v>furniturebench</x:v>
      </x:c>
      <x:c r="C100" s="29" t="str">
        <x:v>excluded_unverified_record</x:v>
      </x:c>
      <x:c r="D100" s="29" t="str"/>
      <x:c r="E100" s="29" t="str">
        <x:v>Record is manuscript-derived and lacks record-level primary-source URL, locator, and field-level verification.</x:v>
      </x:c>
    </x:row>
    <x:row r="101">
      <x:c r="A101" s="29" t="str">
        <x:v>corpus_master.csv</x:v>
      </x:c>
      <x:c r="B101" s="29" t="str">
        <x:v>colosseum</x:v>
      </x:c>
      <x:c r="C101" s="29" t="str">
        <x:v>excluded_unverified_record</x:v>
      </x:c>
      <x:c r="D101" s="29" t="str"/>
      <x:c r="E101" s="29" t="str">
        <x:v>Record is manuscript-derived and lacks record-level primary-source URL, locator, and field-level verification.</x:v>
      </x:c>
    </x:row>
    <x:row r="102">
      <x:c r="A102" s="29" t="str">
        <x:v>corpus_master.csv</x:v>
      </x:c>
      <x:c r="B102" s="29" t="str">
        <x:v>vlabench</x:v>
      </x:c>
      <x:c r="C102" s="29" t="str">
        <x:v>excluded_unverified_record</x:v>
      </x:c>
      <x:c r="D102" s="29" t="str"/>
      <x:c r="E102" s="29" t="str">
        <x:v>Record is manuscript-derived and lacks record-level primary-source URL, locator, and field-level verification.</x:v>
      </x:c>
    </x:row>
    <x:row r="103">
      <x:c r="A103" s="29" t="str">
        <x:v>corpus_master.csv</x:v>
      </x:c>
      <x:c r="B103" s="29" t="str">
        <x:v>rh20t</x:v>
      </x:c>
      <x:c r="C103" s="29" t="str">
        <x:v>excluded_unverified_record</x:v>
      </x:c>
      <x:c r="D103" s="29" t="str"/>
      <x:c r="E103" s="29" t="str">
        <x:v>Record is manuscript-derived and lacks record-level primary-source URL, locator, and field-level verification.</x:v>
      </x:c>
    </x:row>
    <x:row r="104">
      <x:c r="A104" s="29" t="str">
        <x:v>corpus_master.csv</x:v>
      </x:c>
      <x:c r="B104" s="29" t="str">
        <x:v>robomind</x:v>
      </x:c>
      <x:c r="C104" s="29" t="str">
        <x:v>excluded_unverified_record</x:v>
      </x:c>
      <x:c r="D104" s="29" t="str"/>
      <x:c r="E104" s="29" t="str">
        <x:v>Record is manuscript-derived and lacks record-level primary-source URL, locator, and field-level verification.</x:v>
      </x:c>
    </x:row>
    <x:row r="105">
      <x:c r="A105" s="29" t="str">
        <x:v>corpus_master.csv</x:v>
      </x:c>
      <x:c r="B105" s="29" t="str">
        <x:v>lapa</x:v>
      </x:c>
      <x:c r="C105" s="29" t="str">
        <x:v>excluded_unverified_record</x:v>
      </x:c>
      <x:c r="D105" s="29" t="str"/>
      <x:c r="E105" s="29" t="str">
        <x:v>Record is manuscript-derived and lacks record-level primary-source URL, locator, and field-level verification.</x:v>
      </x:c>
    </x:row>
    <x:row r="106">
      <x:c r="A106" s="29" t="str">
        <x:v>corpus_master.csv</x:v>
      </x:c>
      <x:c r="B106" s="29" t="str">
        <x:v>knowno</x:v>
      </x:c>
      <x:c r="C106" s="29" t="str">
        <x:v>excluded_unverified_record</x:v>
      </x:c>
      <x:c r="D106" s="29" t="str"/>
      <x:c r="E106" s="29" t="str">
        <x:v>Record is manuscript-derived and lacks record-level primary-source URL, locator, and field-level verification.</x:v>
      </x:c>
    </x:row>
    <x:row r="107">
      <x:c r="A107" s="29" t="str">
        <x:v>corpus_master.csv</x:v>
      </x:c>
      <x:c r="B107" s="29" t="str">
        <x:v>cbf</x:v>
      </x:c>
      <x:c r="C107" s="29" t="str">
        <x:v>excluded_unverified_record</x:v>
      </x:c>
      <x:c r="D107" s="29" t="str"/>
      <x:c r="E107" s="29" t="str">
        <x:v>Record is manuscript-derived and lacks record-level primary-source URL, locator, and field-level verification.</x:v>
      </x:c>
    </x:row>
    <x:row r="108">
      <x:c r="A108" s="29" t="str">
        <x:v>evidence_edges.csv</x:v>
      </x:c>
      <x:c r="B108" s="29" t="str">
        <x:v>E001</x:v>
      </x:c>
      <x:c r="C108" s="29" t="str">
        <x:v>excluded_unverified_edge</x:v>
      </x:c>
      <x:c r="D108" s="29" t="str"/>
      <x:c r="E108" s="29" t="str">
        <x:v>Edge is manuscript-derived; source locator, independent verification, and normalized evidence semantics are absent.</x:v>
      </x:c>
    </x:row>
    <x:row r="109">
      <x:c r="A109" s="29" t="str">
        <x:v>evidence_edges.csv</x:v>
      </x:c>
      <x:c r="B109" s="29" t="str">
        <x:v>E002</x:v>
      </x:c>
      <x:c r="C109" s="29" t="str">
        <x:v>excluded_unverified_edge</x:v>
      </x:c>
      <x:c r="D109" s="29" t="str"/>
      <x:c r="E109" s="29" t="str">
        <x:v>Edge is manuscript-derived; source locator, independent verification, and normalized evidence semantics are absent.</x:v>
      </x:c>
    </x:row>
    <x:row r="110">
      <x:c r="A110" s="29" t="str">
        <x:v>evidence_edges.csv</x:v>
      </x:c>
      <x:c r="B110" s="29" t="str">
        <x:v>E003</x:v>
      </x:c>
      <x:c r="C110" s="29" t="str">
        <x:v>excluded_unverified_edge</x:v>
      </x:c>
      <x:c r="D110" s="29" t="str"/>
      <x:c r="E110" s="29" t="str">
        <x:v>Edge is manuscript-derived; source locator, independent verification, and normalized evidence semantics are absent.</x:v>
      </x:c>
    </x:row>
    <x:row r="111">
      <x:c r="A111" s="29" t="str">
        <x:v>evidence_edges.csv</x:v>
      </x:c>
      <x:c r="B111" s="29" t="str">
        <x:v>E004</x:v>
      </x:c>
      <x:c r="C111" s="29" t="str">
        <x:v>excluded_unverified_edge</x:v>
      </x:c>
      <x:c r="D111" s="29" t="str"/>
      <x:c r="E111" s="29" t="str">
        <x:v>Edge is manuscript-derived; source locator, independent verification, and normalized evidence semantics are absent.</x:v>
      </x:c>
    </x:row>
    <x:row r="112">
      <x:c r="A112" s="29" t="str">
        <x:v>evidence_edges.csv</x:v>
      </x:c>
      <x:c r="B112" s="29" t="str">
        <x:v>E005</x:v>
      </x:c>
      <x:c r="C112" s="29" t="str">
        <x:v>excluded_unverified_edge</x:v>
      </x:c>
      <x:c r="D112" s="29" t="str"/>
      <x:c r="E112" s="29" t="str">
        <x:v>Edge is manuscript-derived; source locator, independent verification, and normalized evidence semantics are absent.</x:v>
      </x:c>
    </x:row>
    <x:row r="113">
      <x:c r="A113" s="29" t="str">
        <x:v>evidence_edges.csv</x:v>
      </x:c>
      <x:c r="B113" s="29" t="str">
        <x:v>E006</x:v>
      </x:c>
      <x:c r="C113" s="29" t="str">
        <x:v>excluded_unverified_edge</x:v>
      </x:c>
      <x:c r="D113" s="29" t="str"/>
      <x:c r="E113" s="29" t="str">
        <x:v>Edge is manuscript-derived; source locator, independent verification, and normalized evidence semantics are absent.</x:v>
      </x:c>
    </x:row>
    <x:row r="114">
      <x:c r="A114" s="29" t="str">
        <x:v>evidence_edges.csv</x:v>
      </x:c>
      <x:c r="B114" s="29" t="str">
        <x:v>E007</x:v>
      </x:c>
      <x:c r="C114" s="29" t="str">
        <x:v>excluded_unverified_edge</x:v>
      </x:c>
      <x:c r="D114" s="29" t="str"/>
      <x:c r="E114" s="29" t="str">
        <x:v>Edge is manuscript-derived; source locator, independent verification, and normalized evidence semantics are absent.</x:v>
      </x:c>
    </x:row>
    <x:row r="115">
      <x:c r="A115" s="29" t="str">
        <x:v>evidence_edges.csv</x:v>
      </x:c>
      <x:c r="B115" s="29" t="str">
        <x:v>E008</x:v>
      </x:c>
      <x:c r="C115" s="29" t="str">
        <x:v>excluded_unverified_edge</x:v>
      </x:c>
      <x:c r="D115" s="29" t="str"/>
      <x:c r="E115" s="29" t="str">
        <x:v>Edge is manuscript-derived; source locator, independent verification, and normalized evidence semantics are absent.</x:v>
      </x:c>
    </x:row>
    <x:row r="116">
      <x:c r="A116" s="29" t="str">
        <x:v>evidence_edges.csv</x:v>
      </x:c>
      <x:c r="B116" s="29" t="str">
        <x:v>E009</x:v>
      </x:c>
      <x:c r="C116" s="29" t="str">
        <x:v>excluded_unverified_edge</x:v>
      </x:c>
      <x:c r="D116" s="29" t="str"/>
      <x:c r="E116" s="29" t="str">
        <x:v>Edge is manuscript-derived; source locator, independent verification, and normalized evidence semantics are absent.</x:v>
      </x:c>
    </x:row>
    <x:row r="117">
      <x:c r="A117" s="29" t="str">
        <x:v>evidence_edges.csv</x:v>
      </x:c>
      <x:c r="B117" s="29" t="str">
        <x:v>E010</x:v>
      </x:c>
      <x:c r="C117" s="29" t="str">
        <x:v>excluded_unverified_edge</x:v>
      </x:c>
      <x:c r="D117" s="29" t="str"/>
      <x:c r="E117" s="29" t="str">
        <x:v>Edge is manuscript-derived; source locator, independent verification, and normalized evidence semantics are absent.</x:v>
      </x:c>
    </x:row>
    <x:row r="118">
      <x:c r="A118" s="29" t="str">
        <x:v>evidence_edges.csv</x:v>
      </x:c>
      <x:c r="B118" s="29" t="str">
        <x:v>E011</x:v>
      </x:c>
      <x:c r="C118" s="29" t="str">
        <x:v>excluded_unverified_edge</x:v>
      </x:c>
      <x:c r="D118" s="29" t="str"/>
      <x:c r="E118" s="29" t="str">
        <x:v>Edge is manuscript-derived; source locator, independent verification, and normalized evidence semantics are absent.</x:v>
      </x:c>
    </x:row>
    <x:row r="119">
      <x:c r="A119" s="29" t="str">
        <x:v>evidence_edges.csv</x:v>
      </x:c>
      <x:c r="B119" s="29" t="str">
        <x:v>E012</x:v>
      </x:c>
      <x:c r="C119" s="29" t="str">
        <x:v>excluded_unverified_edge</x:v>
      </x:c>
      <x:c r="D119" s="29" t="str"/>
      <x:c r="E119" s="29" t="str">
        <x:v>Edge is manuscript-derived; source locator, independent verification, and normalized evidence semantics are absent.</x:v>
      </x:c>
    </x:row>
    <x:row r="120">
      <x:c r="A120" s="29" t="str">
        <x:v>evidence_edges.csv</x:v>
      </x:c>
      <x:c r="B120" s="29" t="str">
        <x:v>E013</x:v>
      </x:c>
      <x:c r="C120" s="29" t="str">
        <x:v>excluded_unverified_edge</x:v>
      </x:c>
      <x:c r="D120" s="29" t="str"/>
      <x:c r="E120" s="29" t="str">
        <x:v>Edge is manuscript-derived; source locator, independent verification, and normalized evidence semantics are absent.</x:v>
      </x:c>
    </x:row>
    <x:row r="121">
      <x:c r="A121" s="29" t="str">
        <x:v>evidence_edges.csv</x:v>
      </x:c>
      <x:c r="B121" s="29" t="str">
        <x:v>E014</x:v>
      </x:c>
      <x:c r="C121" s="29" t="str">
        <x:v>excluded_unverified_edge</x:v>
      </x:c>
      <x:c r="D121" s="29" t="str"/>
      <x:c r="E121" s="29" t="str">
        <x:v>Edge is manuscript-derived; source locator, independent verification, and normalized evidence semantics are absent.</x:v>
      </x:c>
    </x:row>
    <x:row r="122">
      <x:c r="A122" s="29" t="str">
        <x:v>evidence_edges.csv</x:v>
      </x:c>
      <x:c r="B122" s="29" t="str">
        <x:v>E015</x:v>
      </x:c>
      <x:c r="C122" s="29" t="str">
        <x:v>excluded_unverified_edge</x:v>
      </x:c>
      <x:c r="D122" s="29" t="str"/>
      <x:c r="E122" s="29" t="str">
        <x:v>Edge is manuscript-derived; source locator, independent verification, and normalized evidence semantics are absent.</x:v>
      </x:c>
    </x:row>
    <x:row r="123">
      <x:c r="A123" s="29" t="str">
        <x:v>evidence_edges.csv</x:v>
      </x:c>
      <x:c r="B123" s="29" t="str">
        <x:v>E016</x:v>
      </x:c>
      <x:c r="C123" s="29" t="str">
        <x:v>excluded_unverified_edge</x:v>
      </x:c>
      <x:c r="D123" s="29" t="str"/>
      <x:c r="E123" s="29" t="str">
        <x:v>Edge is manuscript-derived; source locator, independent verification, and normalized evidence semantics are absent.</x:v>
      </x:c>
    </x:row>
    <x:row r="124">
      <x:c r="A124" s="29" t="str">
        <x:v>evidence_edges.csv</x:v>
      </x:c>
      <x:c r="B124" s="29" t="str">
        <x:v>E017</x:v>
      </x:c>
      <x:c r="C124" s="29" t="str">
        <x:v>excluded_unverified_edge</x:v>
      </x:c>
      <x:c r="D124" s="29" t="str"/>
      <x:c r="E124" s="29" t="str">
        <x:v>Edge is manuscript-derived; source locator, independent verification, and normalized evidence semantics are absent.</x:v>
      </x:c>
    </x:row>
    <x:row r="125">
      <x:c r="A125" s="29" t="str">
        <x:v>evidence_edges.csv</x:v>
      </x:c>
      <x:c r="B125" s="29" t="str">
        <x:v>E018</x:v>
      </x:c>
      <x:c r="C125" s="29" t="str">
        <x:v>excluded_unverified_edge</x:v>
      </x:c>
      <x:c r="D125" s="29" t="str"/>
      <x:c r="E125" s="29" t="str">
        <x:v>Edge is manuscript-derived; source locator, independent verification, and normalized evidence semantics are absent.</x:v>
      </x:c>
    </x:row>
    <x:row r="126">
      <x:c r="A126" s="29" t="str">
        <x:v>evidence_edges.csv</x:v>
      </x:c>
      <x:c r="B126" s="29" t="str">
        <x:v>E019</x:v>
      </x:c>
      <x:c r="C126" s="29" t="str">
        <x:v>excluded_unverified_edge</x:v>
      </x:c>
      <x:c r="D126" s="29" t="str"/>
      <x:c r="E126" s="29" t="str">
        <x:v>Edge is manuscript-derived; source locator, independent verification, and normalized evidence semantics are absent.</x:v>
      </x:c>
    </x:row>
    <x:row r="127">
      <x:c r="A127" s="29" t="str">
        <x:v>evidence_edges.csv</x:v>
      </x:c>
      <x:c r="B127" s="29" t="str">
        <x:v>E020</x:v>
      </x:c>
      <x:c r="C127" s="29" t="str">
        <x:v>excluded_unverified_edge</x:v>
      </x:c>
      <x:c r="D127" s="29" t="str"/>
      <x:c r="E127" s="29" t="str">
        <x:v>Edge is manuscript-derived; source locator, independent verification, and normalized evidence semantics are absent.</x:v>
      </x:c>
    </x:row>
    <x:row r="128">
      <x:c r="A128" s="29" t="str">
        <x:v>evidence_edges.csv</x:v>
      </x:c>
      <x:c r="B128" s="29" t="str">
        <x:v>E021</x:v>
      </x:c>
      <x:c r="C128" s="29" t="str">
        <x:v>excluded_unverified_edge</x:v>
      </x:c>
      <x:c r="D128" s="29" t="str"/>
      <x:c r="E128" s="29" t="str">
        <x:v>Edge is manuscript-derived; source locator, independent verification, and normalized evidence semantics are absent.</x:v>
      </x:c>
    </x:row>
    <x:row r="129">
      <x:c r="A129" s="29" t="str">
        <x:v>evidence_edges.csv</x:v>
      </x:c>
      <x:c r="B129" s="29" t="str">
        <x:v>E022</x:v>
      </x:c>
      <x:c r="C129" s="29" t="str">
        <x:v>excluded_unverified_edge</x:v>
      </x:c>
      <x:c r="D129" s="29" t="str"/>
      <x:c r="E129" s="29" t="str">
        <x:v>Edge is manuscript-derived; source locator, independent verification, and normalized evidence semantics are absent.</x:v>
      </x:c>
    </x:row>
    <x:row r="130">
      <x:c r="A130" s="29" t="str">
        <x:v>evidence_edges.csv</x:v>
      </x:c>
      <x:c r="B130" s="29" t="str">
        <x:v>E023</x:v>
      </x:c>
      <x:c r="C130" s="29" t="str">
        <x:v>excluded_unverified_edge</x:v>
      </x:c>
      <x:c r="D130" s="29" t="str"/>
      <x:c r="E130" s="29" t="str">
        <x:v>Edge is manuscript-derived; source locator, independent verification, and normalized evidence semantics are absent.</x:v>
      </x:c>
    </x:row>
    <x:row r="131">
      <x:c r="A131" s="29" t="str">
        <x:v>evidence_edges.csv</x:v>
      </x:c>
      <x:c r="B131" s="29" t="str">
        <x:v>E024</x:v>
      </x:c>
      <x:c r="C131" s="29" t="str">
        <x:v>excluded_unverified_edge</x:v>
      </x:c>
      <x:c r="D131" s="29" t="str"/>
      <x:c r="E131" s="29" t="str">
        <x:v>Edge is manuscript-derived; source locator, independent verification, and normalized evidence semantics are absent.</x:v>
      </x:c>
    </x:row>
    <x:row r="132">
      <x:c r="A132" s="29" t="str">
        <x:v>evidence_edges.csv</x:v>
      </x:c>
      <x:c r="B132" s="29" t="str">
        <x:v>E025</x:v>
      </x:c>
      <x:c r="C132" s="29" t="str">
        <x:v>excluded_unverified_edge</x:v>
      </x:c>
      <x:c r="D132" s="29" t="str"/>
      <x:c r="E132" s="29" t="str">
        <x:v>Edge is manuscript-derived; source locator, independent verification, and normalized evidence semantics are absent.</x:v>
      </x:c>
    </x:row>
    <x:row r="133">
      <x:c r="A133" s="29" t="str">
        <x:v>evidence_edges.csv</x:v>
      </x:c>
      <x:c r="B133" s="29" t="str">
        <x:v>E026</x:v>
      </x:c>
      <x:c r="C133" s="29" t="str">
        <x:v>excluded_unverified_edge</x:v>
      </x:c>
      <x:c r="D133" s="29" t="str"/>
      <x:c r="E133" s="29" t="str">
        <x:v>Edge is manuscript-derived; source locator, independent verification, and normalized evidence semantics are absent.</x:v>
      </x:c>
    </x:row>
    <x:row r="134">
      <x:c r="A134" s="29" t="str">
        <x:v>evidence_edges.csv</x:v>
      </x:c>
      <x:c r="B134" s="29" t="str">
        <x:v>E027</x:v>
      </x:c>
      <x:c r="C134" s="29" t="str">
        <x:v>excluded_unverified_edge</x:v>
      </x:c>
      <x:c r="D134" s="29" t="str"/>
      <x:c r="E134" s="29" t="str">
        <x:v>Edge is manuscript-derived; source locator, independent verification, and normalized evidence semantics are absent.</x:v>
      </x:c>
    </x:row>
    <x:row r="135">
      <x:c r="A135" s="29" t="str">
        <x:v>evidence_edges.csv</x:v>
      </x:c>
      <x:c r="B135" s="29" t="str">
        <x:v>E028</x:v>
      </x:c>
      <x:c r="C135" s="29" t="str">
        <x:v>excluded_unverified_edge</x:v>
      </x:c>
      <x:c r="D135" s="29" t="str"/>
      <x:c r="E135" s="29" t="str">
        <x:v>Edge is manuscript-derived; source locator, independent verification, and normalized evidence semantics are absent.</x:v>
      </x:c>
    </x:row>
    <x:row r="136">
      <x:c r="A136" s="29" t="str">
        <x:v>evidence_edges.csv</x:v>
      </x:c>
      <x:c r="B136" s="29" t="str">
        <x:v>E029</x:v>
      </x:c>
      <x:c r="C136" s="29" t="str">
        <x:v>excluded_unverified_edge</x:v>
      </x:c>
      <x:c r="D136" s="29" t="str"/>
      <x:c r="E136" s="29" t="str">
        <x:v>Edge is manuscript-derived; source locator, independent verification, and normalized evidence semantics are absent.</x:v>
      </x:c>
    </x:row>
    <x:row r="137">
      <x:c r="A137" s="29" t="str">
        <x:v>evidence_edges.csv</x:v>
      </x:c>
      <x:c r="B137" s="29" t="str">
        <x:v>E030</x:v>
      </x:c>
      <x:c r="C137" s="29" t="str">
        <x:v>excluded_unverified_edge</x:v>
      </x:c>
      <x:c r="D137" s="29" t="str"/>
      <x:c r="E137" s="29" t="str">
        <x:v>Edge is manuscript-derived; source locator, independent verification, and normalized evidence semantics are absent.</x:v>
      </x:c>
    </x:row>
    <x:row r="138">
      <x:c r="A138" s="29" t="str">
        <x:v>evidence_edges.csv</x:v>
      </x:c>
      <x:c r="B138" s="29" t="str">
        <x:v>E031</x:v>
      </x:c>
      <x:c r="C138" s="29" t="str">
        <x:v>excluded_unverified_edge</x:v>
      </x:c>
      <x:c r="D138" s="29" t="str"/>
      <x:c r="E138" s="29" t="str">
        <x:v>Edge is manuscript-derived; source locator, independent verification, and normalized evidence semantics are absent.</x:v>
      </x:c>
    </x:row>
    <x:row r="139">
      <x:c r="A139" s="29" t="str">
        <x:v>evidence_edges.csv</x:v>
      </x:c>
      <x:c r="B139" s="29" t="str">
        <x:v>E032</x:v>
      </x:c>
      <x:c r="C139" s="29" t="str">
        <x:v>excluded_unverified_edge</x:v>
      </x:c>
      <x:c r="D139" s="29" t="str"/>
      <x:c r="E139" s="29" t="str">
        <x:v>Edge is manuscript-derived; source locator, independent verification, and normalized evidence semantics are absent.</x:v>
      </x:c>
    </x:row>
    <x:row r="140">
      <x:c r="A140" s="29" t="str">
        <x:v>evidence_edges.csv</x:v>
      </x:c>
      <x:c r="B140" s="29" t="str">
        <x:v>E033</x:v>
      </x:c>
      <x:c r="C140" s="29" t="str">
        <x:v>excluded_unverified_edge</x:v>
      </x:c>
      <x:c r="D140" s="29" t="str"/>
      <x:c r="E140" s="29" t="str">
        <x:v>Edge is manuscript-derived; source locator, independent verification, and normalized evidence semantics are absent.</x:v>
      </x:c>
    </x:row>
    <x:row r="141">
      <x:c r="A141" s="29" t="str">
        <x:v>evidence_edges.csv</x:v>
      </x:c>
      <x:c r="B141" s="29" t="str">
        <x:v>E034</x:v>
      </x:c>
      <x:c r="C141" s="29" t="str">
        <x:v>excluded_unverified_edge</x:v>
      </x:c>
      <x:c r="D141" s="29" t="str"/>
      <x:c r="E141" s="29" t="str">
        <x:v>Edge is manuscript-derived; source locator, independent verification, and normalized evidence semantics are absent.</x:v>
      </x:c>
    </x:row>
    <x:row r="142">
      <x:c r="A142" s="29" t="str">
        <x:v>data_scaling.csv</x:v>
      </x:c>
      <x:c r="B142" s="29" t="str">
        <x:v>cosmos::Cosmos WFM</x:v>
      </x:c>
      <x:c r="C142" s="29" t="str">
        <x:v>retained_with_qualifier</x:v>
      </x:c>
      <x:c r="D142" s="29" t="str">
        <x:v>cosmos_raw</x:v>
      </x:c>
      <x:c r="E142" s="29" t="str">
        <x:v>Primary paper reports about 20M hours; encoded as approximate raw collection scale.</x:v>
      </x:c>
    </x:row>
    <x:row r="143">
      <x:c r="A143" s="29" t="str">
        <x:v>data_scaling.csv</x:v>
      </x:c>
      <x:c r="B143" s="29" t="str">
        <x:v>vjepa2::V-JEPA 2</x:v>
      </x:c>
      <x:c r="C143" s="29" t="str">
        <x:v>retained_with_qualifier</x:v>
      </x:c>
      <x:c r="D143" s="29" t="str">
        <x:v>vjepa2_pretrain</x:v>
      </x:c>
      <x:c r="E143" s="29" t="str">
        <x:v>Primary paper reports over 1M hours; encoded as a lower bound.</x:v>
      </x:c>
    </x:row>
    <x:row r="144">
      <x:c r="A144" s="29" t="str">
        <x:v>data_scaling.csv</x:v>
      </x:c>
      <x:c r="B144" s="29" t="str">
        <x:v>pi0::pi_0</x:v>
      </x:c>
      <x:c r="C144" s="29" t="str">
        <x:v>retained_with_qualifier</x:v>
      </x:c>
      <x:c r="D144" s="29" t="str">
        <x:v>pi0_pretrain</x:v>
      </x:c>
      <x:c r="E144" s="29" t="str">
        <x:v>Primary paper reports over 10,000 hours; encoded as a lower bound.</x:v>
      </x:c>
    </x:row>
    <x:row r="145">
      <x:c r="A145" s="29" t="str">
        <x:v>data_scaling.csv</x:v>
      </x:c>
      <x:c r="B145" s="29" t="str">
        <x:v>dreamer4::Dreamer 4</x:v>
      </x:c>
      <x:c r="C145" s="29" t="str">
        <x:v>corrected_and_split</x:v>
      </x:c>
      <x:c r="D145" s="29" t="str">
        <x:v>dreamer4_video;dreamer4_actions</x:v>
      </x:c>
      <x:c r="E145" s="29" t="str">
        <x:v>Video pool corrected to 2,541 hours; 100-hour paired-action condition represented separately.</x:v>
      </x:c>
    </x:row>
    <x:row r="146">
      <x:c r="A146" s="29" t="str">
        <x:v>data_scaling.csv</x:v>
      </x:c>
      <x:c r="B146" s="29" t="str">
        <x:v>rt1::RT-1</x:v>
      </x:c>
      <x:c r="C146" s="29" t="str">
        <x:v>excluded_author_estimate</x:v>
      </x:c>
      <x:c r="D146" s="29" t="str"/>
      <x:c r="E146" s="29" t="str">
        <x:v>The hour value is an episode-duration conversion, not a primary-source-reported measurement.</x:v>
      </x:c>
    </x:row>
    <x:row r="147">
      <x:c r="A147" s="29" t="str">
        <x:v>data_scaling.csv</x:v>
      </x:c>
      <x:c r="B147" s="29" t="str">
        <x:v>droid::DROID</x:v>
      </x:c>
      <x:c r="C147" s="29" t="str">
        <x:v>retained</x:v>
      </x:c>
      <x:c r="D147" s="29" t="str">
        <x:v>droid_full</x:v>
      </x:c>
      <x:c r="E147" s="29" t="str">
        <x:v>Primary paper reports 350 hours of interaction data.</x:v>
      </x:c>
    </x:row>
    <x:row r="148">
      <x:c r="A148" s="29" t="str">
        <x:v>data_scaling.csv</x:v>
      </x:c>
      <x:c r="B148" s="29" t="str">
        <x:v>vjepa2::V-JEPA 2-AC</x:v>
      </x:c>
      <x:c r="C148" s="29" t="str">
        <x:v>retained_with_qualifier</x:v>
      </x:c>
      <x:c r="D148" s="29" t="str">
        <x:v>vjepa2_ac</x:v>
      </x:c>
      <x:c r="E148" s="29" t="str">
        <x:v>Primary paper reports less than 62 hours; encoded as an upper bound.</x:v>
      </x:c>
    </x:row>
  </x:sheetData>
  <x:pageMargins left="0.7" right="0.7" top="0.75" bottom="0.75" header="0.3" footer="0.3"/>
  <x:tableParts count="1">
    <x:tablePart xmlns:r="http://schemas.openxmlformats.org/officeDocument/2006/relationships" r:id="Rd0c6f40b9136435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25.559999465942383" hidden="0" customWidth="1"/>
    <x:col min="3" max="3" width="21.110000610351562" hidden="0" customWidth="1"/>
    <x:col min="4" max="4" width="70" hidden="0" customWidth="1"/>
  </x:cols>
  <x:sheetData>
    <x:row r="1" ht="31.5" customHeight="1">
      <x:c r="A1" s="42" t="str">
        <x:v>input_file</x:v>
      </x:c>
      <x:c r="B1" s="42" t="str">
        <x:v>input_column</x:v>
      </x:c>
      <x:c r="C1" s="42" t="str">
        <x:v>decision</x:v>
      </x:c>
      <x:c r="D1" s="42" t="str">
        <x:v>reason</x:v>
      </x:c>
    </x:row>
    <x:row r="2">
      <x:c r="A2" s="29" t="str">
        <x:v>corpus_master.csv</x:v>
      </x:c>
      <x:c r="B2" s="29" t="str">
        <x:v>bib_key</x:v>
      </x:c>
      <x:c r="C2" s="29" t="str">
        <x:v>audit_identifier_only</x:v>
      </x:c>
      <x:c r="D2" s="29" t="str">
        <x:v>Retained only in the exclusion log, not as a scientific field.</x:v>
      </x:c>
    </x:row>
    <x:row r="3">
      <x:c r="A3" s="29" t="str">
        <x:v>corpus_master.csv</x:v>
      </x:c>
      <x:c r="B3" s="29" t="str">
        <x:v>system_name</x:v>
      </x:c>
      <x:c r="C3" s="29" t="str">
        <x:v>excluded</x:v>
      </x:c>
      <x:c r="D3" s="29" t="str">
        <x:v>No field-level primary-source URL, locator, and independent verification in the submitted CSV.</x:v>
      </x:c>
    </x:row>
    <x:row r="4">
      <x:c r="A4" s="29" t="str">
        <x:v>corpus_master.csv</x:v>
      </x:c>
      <x:c r="B4" s="29" t="str">
        <x:v>family</x:v>
      </x:c>
      <x:c r="C4" s="29" t="str">
        <x:v>excluded</x:v>
      </x:c>
      <x:c r="D4" s="29" t="str">
        <x:v>No field-level primary-source URL, locator, and independent verification in the submitted CSV.</x:v>
      </x:c>
    </x:row>
    <x:row r="5">
      <x:c r="A5" s="29" t="str">
        <x:v>corpus_master.csv</x:v>
      </x:c>
      <x:c r="B5" s="29" t="str">
        <x:v>year</x:v>
      </x:c>
      <x:c r="C5" s="29" t="str">
        <x:v>excluded</x:v>
      </x:c>
      <x:c r="D5" s="29" t="str">
        <x:v>No field-level primary-source URL, locator, and independent verification in the submitted CSV.</x:v>
      </x:c>
    </x:row>
    <x:row r="6">
      <x:c r="A6" s="29" t="str">
        <x:v>corpus_master.csv</x:v>
      </x:c>
      <x:c r="B6" s="29" t="str">
        <x:v>primary_group</x:v>
      </x:c>
      <x:c r="C6" s="29" t="str">
        <x:v>excluded</x:v>
      </x:c>
      <x:c r="D6" s="29" t="str">
        <x:v>No field-level primary-source URL, locator, and independent verification in the submitted CSV.</x:v>
      </x:c>
    </x:row>
    <x:row r="7">
      <x:c r="A7" s="29" t="str">
        <x:v>corpus_master.csv</x:v>
      </x:c>
      <x:c r="B7" s="29" t="str">
        <x:v>secondary_labels</x:v>
      </x:c>
      <x:c r="C7" s="29" t="str">
        <x:v>excluded</x:v>
      </x:c>
      <x:c r="D7" s="29" t="str">
        <x:v>No field-level primary-source URL, locator, and independent verification in the submitted CSV.</x:v>
      </x:c>
    </x:row>
    <x:row r="8">
      <x:c r="A8" s="29" t="str">
        <x:v>corpus_master.csv</x:v>
      </x:c>
      <x:c r="B8" s="29" t="str">
        <x:v>wm_role_label</x:v>
      </x:c>
      <x:c r="C8" s="29" t="str">
        <x:v>excluded</x:v>
      </x:c>
      <x:c r="D8" s="29" t="str">
        <x:v>No field-level primary-source URL, locator, and independent verification in the submitted CSV.</x:v>
      </x:c>
    </x:row>
    <x:row r="9">
      <x:c r="A9" s="29" t="str">
        <x:v>corpus_master.csv</x:v>
      </x:c>
      <x:c r="B9" s="29" t="str">
        <x:v>corpus_status</x:v>
      </x:c>
      <x:c r="C9" s="29" t="str">
        <x:v>excluded</x:v>
      </x:c>
      <x:c r="D9" s="29" t="str">
        <x:v>No field-level primary-source URL, locator, and independent verification in the submitted CSV.</x:v>
      </x:c>
    </x:row>
    <x:row r="10">
      <x:c r="A10" s="29" t="str">
        <x:v>corpus_master.csv</x:v>
      </x:c>
      <x:c r="B10" s="29" t="str">
        <x:v>backbone_or_substrate</x:v>
      </x:c>
      <x:c r="C10" s="29" t="str">
        <x:v>excluded</x:v>
      </x:c>
      <x:c r="D10" s="29" t="str">
        <x:v>No field-level primary-source URL, locator, and independent verification in the submitted CSV.</x:v>
      </x:c>
    </x:row>
    <x:row r="11">
      <x:c r="A11" s="29" t="str">
        <x:v>corpus_master.csv</x:v>
      </x:c>
      <x:c r="B11" s="29" t="str">
        <x:v>action_representation</x:v>
      </x:c>
      <x:c r="C11" s="29" t="str">
        <x:v>excluded</x:v>
      </x:c>
      <x:c r="D11" s="29" t="str">
        <x:v>No field-level primary-source URL, locator, and independent verification in the submitted CSV.</x:v>
      </x:c>
    </x:row>
    <x:row r="12">
      <x:c r="A12" s="29" t="str">
        <x:v>corpus_master.csv</x:v>
      </x:c>
      <x:c r="B12" s="29" t="str">
        <x:v>state_space</x:v>
      </x:c>
      <x:c r="C12" s="29" t="str">
        <x:v>excluded</x:v>
      </x:c>
      <x:c r="D12" s="29" t="str">
        <x:v>No field-level primary-source URL, locator, and independent verification in the submitted CSV.</x:v>
      </x:c>
    </x:row>
    <x:row r="13">
      <x:c r="A13" s="29" t="str">
        <x:v>corpus_master.csv</x:v>
      </x:c>
      <x:c r="B13" s="29" t="str">
        <x:v>action_conditioned</x:v>
      </x:c>
      <x:c r="C13" s="29" t="str">
        <x:v>excluded</x:v>
      </x:c>
      <x:c r="D13" s="29" t="str">
        <x:v>No field-level primary-source URL, locator, and independent verification in the submitted CSV.</x:v>
      </x:c>
    </x:row>
    <x:row r="14">
      <x:c r="A14" s="29" t="str">
        <x:v>corpus_master.csv</x:v>
      </x:c>
      <x:c r="B14" s="29" t="str">
        <x:v>interactive_closed_loop</x:v>
      </x:c>
      <x:c r="C14" s="29" t="str">
        <x:v>excluded</x:v>
      </x:c>
      <x:c r="D14" s="29" t="str">
        <x:v>No field-level primary-source URL, locator, and independent verification in the submitted CSV.</x:v>
      </x:c>
    </x:row>
    <x:row r="15">
      <x:c r="A15" s="29" t="str">
        <x:v>corpus_master.csv</x:v>
      </x:c>
      <x:c r="B15" s="29" t="str">
        <x:v>provenance_tag</x:v>
      </x:c>
      <x:c r="C15" s="29" t="str">
        <x:v>excluded</x:v>
      </x:c>
      <x:c r="D15" s="29" t="str">
        <x:v>No field-level primary-source URL, locator, and independent verification in the submitted CSV.</x:v>
      </x:c>
    </x:row>
    <x:row r="16">
      <x:c r="A16" s="29" t="str">
        <x:v>corpus_master.csv</x:v>
      </x:c>
      <x:c r="B16" s="29" t="str">
        <x:v>publication_status</x:v>
      </x:c>
      <x:c r="C16" s="29" t="str">
        <x:v>excluded</x:v>
      </x:c>
      <x:c r="D16" s="29" t="str">
        <x:v>No field-level primary-source URL, locator, and independent verification in the submitted CSV.</x:v>
      </x:c>
    </x:row>
    <x:row r="17">
      <x:c r="A17" s="29" t="str">
        <x:v>corpus_master.csv</x:v>
      </x:c>
      <x:c r="B17" s="29" t="str">
        <x:v>open_weights</x:v>
      </x:c>
      <x:c r="C17" s="29" t="str">
        <x:v>excluded</x:v>
      </x:c>
      <x:c r="D17" s="29" t="str">
        <x:v>No field-level primary-source URL, locator, and independent verification in the submitted CSV.</x:v>
      </x:c>
    </x:row>
    <x:row r="18">
      <x:c r="A18" s="29" t="str">
        <x:v>corpus_master.csv</x:v>
      </x:c>
      <x:c r="B18" s="29" t="str">
        <x:v>open_code</x:v>
      </x:c>
      <x:c r="C18" s="29" t="str">
        <x:v>excluded</x:v>
      </x:c>
      <x:c r="D18" s="29" t="str">
        <x:v>No field-level primary-source URL, locator, and independent verification in the submitted CSV.</x:v>
      </x:c>
    </x:row>
    <x:row r="19">
      <x:c r="A19" s="29" t="str">
        <x:v>corpus_master.csv</x:v>
      </x:c>
      <x:c r="B19" s="29" t="str">
        <x:v>open_data</x:v>
      </x:c>
      <x:c r="C19" s="29" t="str">
        <x:v>excluded</x:v>
      </x:c>
      <x:c r="D19" s="29" t="str">
        <x:v>No field-level primary-source URL, locator, and independent verification in the submitted CSV.</x:v>
      </x:c>
    </x:row>
    <x:row r="20">
      <x:c r="A20" s="29" t="str">
        <x:v>corpus_master.csv</x:v>
      </x:c>
      <x:c r="B20" s="29" t="str">
        <x:v>license</x:v>
      </x:c>
      <x:c r="C20" s="29" t="str">
        <x:v>excluded</x:v>
      </x:c>
      <x:c r="D20" s="29" t="str">
        <x:v>No field-level primary-source URL, locator, and independent verification in the submitted CSV.</x:v>
      </x:c>
    </x:row>
    <x:row r="21">
      <x:c r="A21" s="29" t="str">
        <x:v>corpus_master.csv</x:v>
      </x:c>
      <x:c r="B21" s="29" t="str">
        <x:v>real_robot_eval</x:v>
      </x:c>
      <x:c r="C21" s="29" t="str">
        <x:v>excluded</x:v>
      </x:c>
      <x:c r="D21" s="29" t="str">
        <x:v>No field-level primary-source URL, locator, and independent verification in the submitted CSV.</x:v>
      </x:c>
    </x:row>
    <x:row r="22">
      <x:c r="A22" s="29" t="str">
        <x:v>corpus_master.csv</x:v>
      </x:c>
      <x:c r="B22" s="29" t="str">
        <x:v>sim_eval</x:v>
      </x:c>
      <x:c r="C22" s="29" t="str">
        <x:v>excluded</x:v>
      </x:c>
      <x:c r="D22" s="29" t="str">
        <x:v>No field-level primary-source URL, locator, and independent verification in the submitted CSV.</x:v>
      </x:c>
    </x:row>
    <x:row r="23">
      <x:c r="A23" s="29" t="str">
        <x:v>corpus_master.csv</x:v>
      </x:c>
      <x:c r="B23" s="29" t="str">
        <x:v>embodiments</x:v>
      </x:c>
      <x:c r="C23" s="29" t="str">
        <x:v>excluded</x:v>
      </x:c>
      <x:c r="D23" s="29" t="str">
        <x:v>No field-level primary-source URL, locator, and independent verification in the submitted CSV.</x:v>
      </x:c>
    </x:row>
    <x:row r="24">
      <x:c r="A24" s="29" t="str">
        <x:v>corpus_master.csv</x:v>
      </x:c>
      <x:c r="B24" s="29" t="str">
        <x:v>benchmarks_used</x:v>
      </x:c>
      <x:c r="C24" s="29" t="str">
        <x:v>excluded</x:v>
      </x:c>
      <x:c r="D24" s="29" t="str">
        <x:v>No field-level primary-source URL, locator, and independent verification in the submitted CSV.</x:v>
      </x:c>
    </x:row>
    <x:row r="25">
      <x:c r="A25" s="29" t="str">
        <x:v>corpus_master.csv</x:v>
      </x:c>
      <x:c r="B25" s="29" t="str">
        <x:v>headline_metric</x:v>
      </x:c>
      <x:c r="C25" s="29" t="str">
        <x:v>excluded</x:v>
      </x:c>
      <x:c r="D25" s="29" t="str">
        <x:v>No field-level primary-source URL, locator, and independent verification in the submitted CSV.</x:v>
      </x:c>
    </x:row>
    <x:row r="26">
      <x:c r="A26" s="29" t="str">
        <x:v>corpus_master.csv</x:v>
      </x:c>
      <x:c r="B26" s="29" t="str">
        <x:v>headline_value</x:v>
      </x:c>
      <x:c r="C26" s="29" t="str">
        <x:v>excluded</x:v>
      </x:c>
      <x:c r="D26" s="29" t="str">
        <x:v>No field-level primary-source URL, locator, and independent verification in the submitted CSV.</x:v>
      </x:c>
    </x:row>
    <x:row r="27">
      <x:c r="A27" s="29" t="str">
        <x:v>corpus_master.csv</x:v>
      </x:c>
      <x:c r="B27" s="29" t="str">
        <x:v>protocol_notes</x:v>
      </x:c>
      <x:c r="C27" s="29" t="str">
        <x:v>excluded</x:v>
      </x:c>
      <x:c r="D27" s="29" t="str">
        <x:v>No field-level primary-source URL, locator, and independent verification in the submitted CSV.</x:v>
      </x:c>
    </x:row>
    <x:row r="28">
      <x:c r="A28" s="29" t="str">
        <x:v>corpus_master.csv</x:v>
      </x:c>
      <x:c r="B28" s="29" t="str">
        <x:v>row_source</x:v>
      </x:c>
      <x:c r="C28" s="29" t="str">
        <x:v>excluded</x:v>
      </x:c>
      <x:c r="D28" s="29" t="str">
        <x:v>No field-level primary-source URL, locator, and independent verification in the submitted CSV.</x:v>
      </x:c>
    </x:row>
    <x:row r="29">
      <x:c r="A29" s="29" t="str">
        <x:v>corpus_master.csv</x:v>
      </x:c>
      <x:c r="B29" s="29" t="str">
        <x:v>verify_status</x:v>
      </x:c>
      <x:c r="C29" s="29" t="str">
        <x:v>excluded</x:v>
      </x:c>
      <x:c r="D29" s="29" t="str">
        <x:v>No field-level primary-source URL, locator, and independent verification in the submitted CSV.</x:v>
      </x:c>
    </x:row>
    <x:row r="30">
      <x:c r="A30" s="29" t="str">
        <x:v>evidence_edges.csv</x:v>
      </x:c>
      <x:c r="B30" s="29" t="str">
        <x:v>edge_id</x:v>
      </x:c>
      <x:c r="C30" s="29" t="str">
        <x:v>audit_identifier_only</x:v>
      </x:c>
      <x:c r="D30" s="29" t="str">
        <x:v>Retained only in the exclusion log, not as a scientific field.</x:v>
      </x:c>
    </x:row>
    <x:row r="31">
      <x:c r="A31" s="29" t="str">
        <x:v>evidence_edges.csv</x:v>
      </x:c>
      <x:c r="B31" s="29" t="str">
        <x:v>limitation</x:v>
      </x:c>
      <x:c r="C31" s="29" t="str">
        <x:v>excluded</x:v>
      </x:c>
      <x:c r="D31" s="29" t="str">
        <x:v>No field-level primary-source URL, locator, and independent verification in the submitted CSV.</x:v>
      </x:c>
    </x:row>
    <x:row r="32">
      <x:c r="A32" s="29" t="str">
        <x:v>evidence_edges.csv</x:v>
      </x:c>
      <x:c r="B32" s="29" t="str">
        <x:v>mechanism</x:v>
      </x:c>
      <x:c r="C32" s="29" t="str">
        <x:v>excluded</x:v>
      </x:c>
      <x:c r="D32" s="29" t="str">
        <x:v>No field-level primary-source URL, locator, and independent verification in the submitted CSV.</x:v>
      </x:c>
    </x:row>
    <x:row r="33">
      <x:c r="A33" s="29" t="str">
        <x:v>evidence_edges.csv</x:v>
      </x:c>
      <x:c r="B33" s="29" t="str">
        <x:v>mechanism_group</x:v>
      </x:c>
      <x:c r="C33" s="29" t="str">
        <x:v>excluded</x:v>
      </x:c>
      <x:c r="D33" s="29" t="str">
        <x:v>No field-level primary-source URL, locator, and independent verification in the submitted CSV.</x:v>
      </x:c>
    </x:row>
    <x:row r="34">
      <x:c r="A34" s="29" t="str">
        <x:v>evidence_edges.csv</x:v>
      </x:c>
      <x:c r="B34" s="29" t="str">
        <x:v>bib_key</x:v>
      </x:c>
      <x:c r="C34" s="29" t="str">
        <x:v>audit_identifier_only</x:v>
      </x:c>
      <x:c r="D34" s="29" t="str">
        <x:v>Used only to trace the rejected edge to its manuscript record.</x:v>
      </x:c>
    </x:row>
    <x:row r="35">
      <x:c r="A35" s="29" t="str">
        <x:v>evidence_edges.csv</x:v>
      </x:c>
      <x:c r="B35" s="29" t="str">
        <x:v>system</x:v>
      </x:c>
      <x:c r="C35" s="29" t="str">
        <x:v>excluded</x:v>
      </x:c>
      <x:c r="D35" s="29" t="str">
        <x:v>No field-level primary-source URL, locator, and independent verification in the submitted CSV.</x:v>
      </x:c>
    </x:row>
    <x:row r="36">
      <x:c r="A36" s="29" t="str">
        <x:v>evidence_edges.csv</x:v>
      </x:c>
      <x:c r="B36" s="29" t="str">
        <x:v>directness</x:v>
      </x:c>
      <x:c r="C36" s="29" t="str">
        <x:v>excluded</x:v>
      </x:c>
      <x:c r="D36" s="29" t="str">
        <x:v>No field-level primary-source URL, locator, and independent verification in the submitted CSV.</x:v>
      </x:c>
    </x:row>
    <x:row r="37">
      <x:c r="A37" s="29" t="str">
        <x:v>evidence_edges.csv</x:v>
      </x:c>
      <x:c r="B37" s="29" t="str">
        <x:v>sub_mechanism</x:v>
      </x:c>
      <x:c r="C37" s="29" t="str">
        <x:v>excluded</x:v>
      </x:c>
      <x:c r="D37" s="29" t="str">
        <x:v>No field-level primary-source URL, locator, and independent verification in the submitted CSV.</x:v>
      </x:c>
    </x:row>
    <x:row r="38">
      <x:c r="A38" s="29" t="str">
        <x:v>evidence_edges.csv</x:v>
      </x:c>
      <x:c r="B38" s="29" t="str">
        <x:v>matched_ablation</x:v>
      </x:c>
      <x:c r="C38" s="29" t="str">
        <x:v>excluded</x:v>
      </x:c>
      <x:c r="D38" s="29" t="str">
        <x:v>No field-level primary-source URL, locator, and independent verification in the submitted CSV.</x:v>
      </x:c>
    </x:row>
    <x:row r="39">
      <x:c r="A39" s="29" t="str">
        <x:v>evidence_edges.csv</x:v>
      </x:c>
      <x:c r="B39" s="29" t="str">
        <x:v>real_robot</x:v>
      </x:c>
      <x:c r="C39" s="29" t="str">
        <x:v>excluded</x:v>
      </x:c>
      <x:c r="D39" s="29" t="str">
        <x:v>No field-level primary-source URL, locator, and independent verification in the submitted CSV.</x:v>
      </x:c>
    </x:row>
    <x:row r="40">
      <x:c r="A40" s="29" t="str">
        <x:v>evidence_edges.csv</x:v>
      </x:c>
      <x:c r="B40" s="29" t="str">
        <x:v>quantitative_claim</x:v>
      </x:c>
      <x:c r="C40" s="29" t="str">
        <x:v>excluded</x:v>
      </x:c>
      <x:c r="D40" s="29" t="str">
        <x:v>No field-level primary-source URL, locator, and independent verification in the submitted CSV.</x:v>
      </x:c>
    </x:row>
    <x:row r="41">
      <x:c r="A41" s="29" t="str">
        <x:v>evidence_edges.csv</x:v>
      </x:c>
      <x:c r="B41" s="29" t="str">
        <x:v>provenance_tag</x:v>
      </x:c>
      <x:c r="C41" s="29" t="str">
        <x:v>excluded</x:v>
      </x:c>
      <x:c r="D41" s="29" t="str">
        <x:v>No field-level primary-source URL, locator, and independent verification in the submitted CSV.</x:v>
      </x:c>
    </x:row>
    <x:row r="42">
      <x:c r="A42" s="29" t="str">
        <x:v>evidence_edges.csv</x:v>
      </x:c>
      <x:c r="B42" s="29" t="str">
        <x:v>null_or_adverse</x:v>
      </x:c>
      <x:c r="C42" s="29" t="str">
        <x:v>excluded</x:v>
      </x:c>
      <x:c r="D42" s="29" t="str">
        <x:v>No field-level primary-source URL, locator, and independent verification in the submitted CSV.</x:v>
      </x:c>
    </x:row>
    <x:row r="43">
      <x:c r="A43" s="29" t="str">
        <x:v>evidence_edges.csv</x:v>
      </x:c>
      <x:c r="B43" s="29" t="str">
        <x:v>in_main_matrix</x:v>
      </x:c>
      <x:c r="C43" s="29" t="str">
        <x:v>excluded</x:v>
      </x:c>
      <x:c r="D43" s="29" t="str">
        <x:v>No field-level primary-source URL, locator, and independent verification in the submitted CSV.</x:v>
      </x:c>
    </x:row>
    <x:row r="44">
      <x:c r="A44" s="29" t="str">
        <x:v>evidence_edges.csv</x:v>
      </x:c>
      <x:c r="B44" s="29" t="str">
        <x:v>notes</x:v>
      </x:c>
      <x:c r="C44" s="29" t="str">
        <x:v>excluded</x:v>
      </x:c>
      <x:c r="D44" s="29" t="str">
        <x:v>No field-level primary-source URL, locator, and independent verification in the submitted CSV.</x:v>
      </x:c>
    </x:row>
    <x:row r="45">
      <x:c r="A45" s="29" t="str">
        <x:v>evidence_edges.csv</x:v>
      </x:c>
      <x:c r="B45" s="29" t="str">
        <x:v>verify_status</x:v>
      </x:c>
      <x:c r="C45" s="29" t="str">
        <x:v>excluded</x:v>
      </x:c>
      <x:c r="D45" s="29" t="str">
        <x:v>No field-level primary-source URL, locator, and independent verification in the submitted CSV.</x:v>
      </x:c>
    </x:row>
    <x:row r="46">
      <x:c r="A46" s="29" t="str">
        <x:v>data_scaling.csv</x:v>
      </x:c>
      <x:c r="B46" s="29" t="str">
        <x:v>bib_key</x:v>
      </x:c>
      <x:c r="C46" s="29" t="str">
        <x:v>mapped</x:v>
      </x:c>
      <x:c r="D46" s="29" t="str">
        <x:v>Mapped to a normalized verified record identifier.</x:v>
      </x:c>
    </x:row>
    <x:row r="47">
      <x:c r="A47" s="29" t="str">
        <x:v>data_scaling.csv</x:v>
      </x:c>
      <x:c r="B47" s="29" t="str">
        <x:v>system</x:v>
      </x:c>
      <x:c r="C47" s="29" t="str">
        <x:v>verified_or_corrected</x:v>
      </x:c>
      <x:c r="D47" s="29" t="str">
        <x:v>Checked against the primary paper title/system name.</x:v>
      </x:c>
    </x:row>
    <x:row r="48">
      <x:c r="A48" s="29" t="str">
        <x:v>data_scaling.csv</x:v>
      </x:c>
      <x:c r="B48" s="29" t="str">
        <x:v>category</x:v>
      </x:c>
      <x:c r="C48" s="29" t="str">
        <x:v>standardized</x:v>
      </x:c>
      <x:c r="D48" s="29" t="str">
        <x:v>Replaced with a source-consistent data_role and measurement_scope.</x:v>
      </x:c>
    </x:row>
    <x:row r="49">
      <x:c r="A49" s="29" t="str">
        <x:v>data_scaling.csv</x:v>
      </x:c>
      <x:c r="B49" s="29" t="str">
        <x:v>hours</x:v>
      </x:c>
      <x:c r="C49" s="29" t="str">
        <x:v>verified_or_corrected</x:v>
      </x:c>
      <x:c r="D49" s="29" t="str">
        <x:v>Retained only with exact bound semantics and corrected values.</x:v>
      </x:c>
    </x:row>
    <x:row r="50">
      <x:c r="A50" s="29" t="str">
        <x:v>data_scaling.csv</x:v>
      </x:c>
      <x:c r="B50" s="29" t="str">
        <x:v>basis</x:v>
      </x:c>
      <x:c r="C50" s="29" t="str">
        <x:v>replaced</x:v>
      </x:c>
      <x:c r="D50" s="29" t="str">
        <x:v>Replaced by source_version, source_locator, and source_url.</x:v>
      </x:c>
    </x:row>
    <x:row r="51">
      <x:c r="A51" s="29" t="str">
        <x:v>data_scaling.csv</x:v>
      </x:c>
      <x:c r="B51" s="29" t="str">
        <x:v>provenance_tag</x:v>
      </x:c>
      <x:c r="C51" s="29" t="str">
        <x:v>excluded</x:v>
      </x:c>
      <x:c r="D51" s="29" t="str">
        <x:v>A V/R/P tag is not field-level verification evidence.</x:v>
      </x:c>
    </x:row>
    <x:row r="52">
      <x:c r="A52" s="29" t="str">
        <x:v>data_scaling.csv</x:v>
      </x:c>
      <x:c r="B52" s="29" t="str">
        <x:v>note</x:v>
      </x:c>
      <x:c r="C52" s="29" t="str">
        <x:v>excluded_or_replaced</x:v>
      </x:c>
      <x:c r="D52" s="29" t="str">
        <x:v>Unsupported ratios and estimates were removed; source-backed scope is recorded separately.</x:v>
      </x:c>
    </x:row>
  </x:sheetData>
  <x:pageMargins left="0.7" right="0.7" top="0.75" bottom="0.75" header="0.3" footer="0.3"/>
  <x:tableParts count="1">
    <x:tablePart xmlns:r="http://schemas.openxmlformats.org/officeDocument/2006/relationships" r:id="R76b97736432b48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7.779998779296875" hidden="0" customWidth="1"/>
    <x:col min="2" max="2" width="13.890000343322754" hidden="0" customWidth="1"/>
    <x:col min="3" max="3" width="13.890000343322754" hidden="0" customWidth="1"/>
    <x:col min="4" max="4" width="2.6700000762939453" hidden="0" customWidth="1"/>
    <x:col min="5" max="5" width="9.5600004196167" hidden="0" customWidth="1"/>
    <x:col min="6" max="6" width="9.5600004196167" hidden="0" customWidth="1"/>
    <x:col min="7" max="7" width="9.5600004196167" hidden="0" customWidth="1"/>
    <x:col min="8" max="8" width="9.5600004196167" hidden="0" customWidth="1"/>
    <x:col min="9" max="9" width="9.5600004196167" hidden="0" customWidth="1"/>
    <x:col min="10" max="10" width="9.5600004196167" hidden="0" customWidth="1"/>
    <x:col min="11" max="11" width="9.5600004196167" hidden="0" customWidth="1"/>
    <x:col min="12" max="12" width="9.5600004196167" hidden="0" customWidth="1"/>
    <x:col min="13" max="13" width="9.5600004196167" hidden="0" customWidth="1"/>
  </x:cols>
  <x:sheetData>
    <x:row r="1">
      <x:c r="A1" s="43" t="str">
        <x:v>Publication-ready figures generated from verified-only data</x:v>
      </x:c>
      <x:c r="B1" s="43"/>
      <x:c r="C1" s="43"/>
      <x:c r="D1" s="43"/>
      <x:c r="E1" s="43"/>
      <x:c r="F1" s="43"/>
      <x:c r="G1" s="43"/>
      <x:c r="H1" s="43"/>
      <x:c r="I1" s="43"/>
      <x:c r="J1" s="43"/>
      <x:c r="K1" s="43"/>
      <x:c r="L1" s="43"/>
      <x:c r="M1" s="43"/>
    </x:row>
    <x:row r="2">
      <x:c r="A2" s="17" t="str">
        <x:v>Vector PDFs and 600-dpi PNGs are included separately in the final package.</x:v>
      </x:c>
      <x:c r="B2" s="17"/>
      <x:c r="C2" s="17"/>
      <x:c r="D2" s="17"/>
      <x:c r="E2" s="17"/>
      <x:c r="F2" s="17"/>
      <x:c r="G2" s="17"/>
      <x:c r="H2" s="17"/>
      <x:c r="I2" s="17"/>
      <x:c r="J2" s="17"/>
      <x:c r="K2" s="17"/>
      <x:c r="L2" s="17"/>
      <x:c r="M2" s="17"/>
    </x:row>
    <x:row r="4" ht="31.5" customHeight="1">
      <x:c r="A4" s="28" t="str">
        <x:v>Scale label</x:v>
      </x:c>
      <x:c r="B4" s="28" t="str">
        <x:v>log10(hours)</x:v>
      </x:c>
      <x:c r="C4" s="28" t="str">
        <x:v>bound type</x:v>
      </x:c>
    </x:row>
    <x:row r="5">
      <x:c r="A5" s="29" t="str">
        <x:f>'Verified Data Scale'!B2&amp;" — "&amp;'Verified Data Scale'!C2</x:f>
        <x:v>Cosmos WFM — raw candidate video collection</x:v>
      </x:c>
      <x:c r="B5" s="33" t="n">
        <x:f>'Verified Data Scale'!L2</x:f>
        <x:v>7.30102999566398</x:v>
      </x:c>
      <x:c r="C5" s="29" t="str">
        <x:f>'Verified Data Scale'!F2</x:f>
        <x:v>approximate</x:v>
      </x:c>
    </x:row>
    <x:row r="6">
      <x:c r="A6" s="29" t="str">
        <x:f>'Verified Data Scale'!B3&amp;" — "&amp;'Verified Data Scale'!C3</x:f>
        <x:v>V-JEPA 2 — internet-video pretraining pool</x:v>
      </x:c>
      <x:c r="B6" s="33" t="n">
        <x:f>'Verified Data Scale'!L3</x:f>
        <x:v>6</x:v>
      </x:c>
      <x:c r="C6" s="29" t="str">
        <x:f>'Verified Data Scale'!F3</x:f>
        <x:v>lower_bound</x:v>
      </x:c>
    </x:row>
    <x:row r="7">
      <x:c r="A7" s="29" t="str">
        <x:f>'Verified Data Scale'!B4&amp;" — "&amp;'Verified Data Scale'!C4</x:f>
        <x:v>pi_0 — robot-data pretraining mixture</x:v>
      </x:c>
      <x:c r="B7" s="33" t="n">
        <x:f>'Verified Data Scale'!L4</x:f>
        <x:v>4</x:v>
      </x:c>
      <x:c r="C7" s="29" t="str">
        <x:f>'Verified Data Scale'!F4</x:f>
        <x:v>lower_bound</x:v>
      </x:c>
    </x:row>
    <x:row r="8">
      <x:c r="A8" s="29" t="str">
        <x:f>'Verified Data Scale'!B5&amp;" — "&amp;'Verified Data Scale'!C5</x:f>
        <x:v>Dreamer 4 — VPT gameplay-video pool</x:v>
      </x:c>
      <x:c r="B8" s="33" t="n">
        <x:f>'Verified Data Scale'!L5</x:f>
        <x:v>3.40500466505037</x:v>
      </x:c>
      <x:c r="C8" s="29" t="str">
        <x:f>'Verified Data Scale'!F5</x:f>
        <x:v>exact</x:v>
      </x:c>
    </x:row>
    <x:row r="9">
      <x:c r="A9" s="29" t="str">
        <x:f>'Verified Data Scale'!B6&amp;" — "&amp;'Verified Data Scale'!C6</x:f>
        <x:v>DROID — full robot-interaction dataset</x:v>
      </x:c>
      <x:c r="B9" s="33" t="n">
        <x:f>'Verified Data Scale'!L6</x:f>
        <x:v>2.54406804435028</x:v>
      </x:c>
      <x:c r="C9" s="29" t="str">
        <x:f>'Verified Data Scale'!F6</x:f>
        <x:v>exact</x:v>
      </x:c>
    </x:row>
    <x:row r="10">
      <x:c r="A10" s="29" t="str">
        <x:f>'Verified Data Scale'!B7&amp;" — "&amp;'Verified Data Scale'!C7</x:f>
        <x:v>Dreamer 4 — paired-action ablation subset</x:v>
      </x:c>
      <x:c r="B10" s="33" t="n">
        <x:f>'Verified Data Scale'!L7</x:f>
        <x:v>2</x:v>
      </x:c>
      <x:c r="C10" s="29" t="str">
        <x:f>'Verified Data Scale'!F7</x:f>
        <x:v>exact</x:v>
      </x:c>
    </x:row>
    <x:row r="11">
      <x:c r="A11" s="29" t="str">
        <x:f>'Verified Data Scale'!B8&amp;" — "&amp;'Verified Data Scale'!C8</x:f>
        <x:v>V-JEPA 2-AC — filtered robot-video subset with end-effector states and derived actions</x:v>
      </x:c>
      <x:c r="B11" s="33" t="n">
        <x:f>'Verified Data Scale'!L8</x:f>
        <x:v>1.79239168949825</x:v>
      </x:c>
      <x:c r="C11" s="29" t="str">
        <x:f>'Verified Data Scale'!F8</x:f>
        <x:v>upper_bound</x:v>
      </x:c>
    </x:row>
    <x:row r="23" ht="31.5" customHeight="1">
      <x:c r="A23" s="37" t="str">
        <x:v>Task</x:v>
      </x:c>
      <x:c r="B23" s="37" t="str">
        <x:v>SIMPLER</x:v>
      </x:c>
      <x:c r="C23" s="37" t="str">
        <x:v>World-Gymnast</x:v>
      </x:c>
    </x:row>
    <x:row r="24">
      <x:c r="A24" s="29" t="str">
        <x:f>'World-Gymnast'!A2</x:f>
        <x:v>Open the drawer</x:v>
      </x:c>
      <x:c r="B24" s="30" t="n">
        <x:f>'World-Gymnast'!C2</x:f>
        <x:v>34</x:v>
      </x:c>
      <x:c r="C24" s="30" t="n">
        <x:f>'World-Gymnast'!F2</x:f>
        <x:v>58</x:v>
      </x:c>
    </x:row>
    <x:row r="25">
      <x:c r="A25" s="29" t="str">
        <x:f>'World-Gymnast'!A3</x:f>
        <x:v>Close the drawer</x:v>
      </x:c>
      <x:c r="B25" s="30" t="n">
        <x:f>'World-Gymnast'!C3</x:f>
        <x:v>74</x:v>
      </x:c>
      <x:c r="C25" s="30" t="n">
        <x:f>'World-Gymnast'!F3</x:f>
        <x:v>62</x:v>
      </x:c>
    </x:row>
    <x:row r="26">
      <x:c r="A26" s="29" t="str">
        <x:f>'World-Gymnast'!A4</x:f>
        <x:v>Put the eggplant into the blue sink</x:v>
      </x:c>
      <x:c r="B26" s="30" t="n">
        <x:f>'World-Gymnast'!C4</x:f>
        <x:v>32</x:v>
      </x:c>
      <x:c r="C26" s="30" t="n">
        <x:f>'World-Gymnast'!F4</x:f>
        <x:v>72</x:v>
      </x:c>
    </x:row>
    <x:row r="27">
      <x:c r="A27" s="29" t="str">
        <x:f>'World-Gymnast'!A5</x:f>
        <x:v>Put the eggplant into the yellow basket</x:v>
      </x:c>
      <x:c r="B27" s="30" t="n">
        <x:f>'World-Gymnast'!C5</x:f>
        <x:v>40</x:v>
      </x:c>
      <x:c r="C27" s="30" t="n">
        <x:f>'World-Gymnast'!F5</x:f>
        <x:v>78</x:v>
      </x:c>
    </x:row>
  </x:sheetData>
  <x:mergeCells>
    <x:mergeCell ref="A1:M1"/>
    <x:mergeCell ref="A2:M2"/>
  </x:mergeCells>
  <x:pageMargins left="0.7" right="0.7" top="0.75" bottom="0.75" header="0.3" footer="0.3"/>
  <x:drawing xmlns:r="http://schemas.openxmlformats.org/officeDocument/2006/relationships" r:id="R43d04596e6e642cb"/>
</x:worksheet>
</file>

<file path=xl/worksheets/sheet10.xml><?xml version="1.0" encoding="utf-8"?>
<x:worksheet xmlns:x="http://schemas.openxmlformats.org/spreadsheetml/2006/main">
  <x:sheetViews>
    <x:sheetView showGridLines="0" workbookViewId="0"/>
  </x:sheetViews>
  <x:sheetFormatPr defaultRowHeight="15"/>
  <x:cols>
    <x:col min="1" max="1" width="36.66999816894531" hidden="0" customWidth="1"/>
    <x:col min="2" max="2" width="18.889999389648438" hidden="0" customWidth="1"/>
    <x:col min="3" max="3" width="18.889999389648438" hidden="0" customWidth="1"/>
    <x:col min="4" max="4" width="20" hidden="0" customWidth="1"/>
    <x:col min="5" max="5" width="40" hidden="0" customWidth="1"/>
  </x:cols>
  <x:sheetData>
    <x:row r="1" ht="31.5" customHeight="1">
      <x:c r="A1" s="28" t="str">
        <x:v>file</x:v>
      </x:c>
      <x:c r="B1" s="28" t="str">
        <x:v>format</x:v>
      </x:c>
      <x:c r="C1" s="28" t="str">
        <x:v>resolution</x:v>
      </x:c>
      <x:c r="D1" s="28" t="str">
        <x:v>source data</x:v>
      </x:c>
      <x:c r="E1" s="28" t="str">
        <x:v>recommended use</x:v>
      </x:c>
    </x:row>
    <x:row r="2">
      <x:c r="A2" s="29" t="str">
        <x:v>verified_data_scale.pdf</x:v>
      </x:c>
      <x:c r="B2" s="29" t="str">
        <x:v>Vector PDF</x:v>
      </x:c>
      <x:c r="C2" s="29" t="str">
        <x:v>embedded TrueType fonts</x:v>
      </x:c>
      <x:c r="D2" s="29" t="str">
        <x:v>Verified Data Scale</x:v>
      </x:c>
      <x:c r="E2" s="29" t="str">
        <x:v>Main text L3; preserve scope and bound caveat</x:v>
      </x:c>
    </x:row>
    <x:row r="3">
      <x:c r="A3" s="29" t="str">
        <x:v>verified_data_scale.png</x:v>
      </x:c>
      <x:c r="B3" s="29" t="str">
        <x:v>PNG</x:v>
      </x:c>
      <x:c r="C3" s="29" t="str">
        <x:v>600 dpi</x:v>
      </x:c>
      <x:c r="D3" s="29" t="str">
        <x:v>Verified Data Scale</x:v>
      </x:c>
      <x:c r="E3" s="29" t="str">
        <x:v>Preview or raster-only workflow</x:v>
      </x:c>
    </x:row>
    <x:row r="4">
      <x:c r="A4" s="29" t="str">
        <x:v>verified_world_gymnast_real_robot.pdf</x:v>
      </x:c>
      <x:c r="B4" s="29" t="str">
        <x:v>Vector PDF</x:v>
      </x:c>
      <x:c r="C4" s="29" t="str">
        <x:v>embedded TrueType fonts</x:v>
      </x:c>
      <x:c r="D4" s="29" t="str">
        <x:v>World-Gymnast</x:v>
      </x:c>
      <x:c r="E4" s="29" t="str">
        <x:v>Main text or supplement</x:v>
      </x:c>
    </x:row>
    <x:row r="5">
      <x:c r="A5" s="29" t="str">
        <x:v>verified_world_gymnast_real_robot.png</x:v>
      </x:c>
      <x:c r="B5" s="29" t="str">
        <x:v>PNG</x:v>
      </x:c>
      <x:c r="C5" s="29" t="str">
        <x:v>600 dpi</x:v>
      </x:c>
      <x:c r="D5" s="29" t="str">
        <x:v>World-Gymnast</x:v>
      </x:c>
      <x:c r="E5" s="29" t="str">
        <x:v>Preview or raster-only workflow</x:v>
      </x:c>
    </x:row>
  </x:sheetData>
  <x:pageMargins left="0.7" right="0.7" top="0.75" bottom="0.75" header="0.3" footer="0.3"/>
  <x:tableParts count="1">
    <x:tablePart xmlns:r="http://schemas.openxmlformats.org/officeDocument/2006/relationships" r:id="Rc1ddd13532424f2b"/>
  </x:tableParts>
</x:worksheet>
</file>

<file path=xl/worksheets/sheet11.xml><?xml version="1.0" encoding="utf-8"?>
<worksheet xmlns="http://schemas.openxmlformats.org/spreadsheetml/2006/main" xmlns:r="http://schemas.openxmlformats.org/officeDocument/2006/relationships">
  <sheetPr>
    <tabColor rgb="FF1F4E78"/>
  </sheetPr>
  <sheetViews>
    <sheetView showGridLines="0" workbookViewId="0">
      <pane xSplit="2" ySplit="8" topLeftCell="C9" activePane="bottomRight" state="frozen"/>
    </sheetView>
  </sheetViews>
  <sheetFormatPr defaultRowHeight="15"/>
  <cols>
    <col min="1" max="1" width="8" hidden="0" customWidth="1"/>
    <col min="2" max="2" width="12" hidden="0" customWidth="1"/>
    <col min="3" max="3" width="76" hidden="0" customWidth="1"/>
    <col min="4" max="4" width="96" hidden="0" customWidth="1"/>
    <col min="5" max="5" width="43" hidden="0" customWidth="1"/>
    <col min="6" max="6" width="27" hidden="0" customWidth="1"/>
    <col min="7" max="7" width="28" hidden="0" customWidth="1"/>
    <col min="8" max="8" width="22" hidden="0" customWidth="1"/>
    <col min="9" max="9" width="44" hidden="0" customWidth="1"/>
    <col min="10" max="10" width="40" hidden="0" customWidth="1"/>
    <col min="11" max="11" width="25" hidden="0" customWidth="1"/>
    <col min="12" max="12" width="58" hidden="0" customWidth="1"/>
    <col min="13" max="13" width="62" hidden="0" customWidth="1"/>
  </cols>
  <sheetData>
    <row r="1" ht="25" customHeight="1">
      <c r="A1" s="46" t="str">
        <v>Cited papers and sources</v>
      </c>
      <c r="B1" s="45"/>
      <c r="C1" s="45"/>
      <c r="D1" s="45"/>
      <c r="E1" s="45"/>
      <c r="F1" s="45"/>
      <c r="G1" s="45"/>
      <c r="H1" s="45"/>
      <c r="I1" s="45"/>
      <c r="J1" s="45"/>
      <c r="K1" s="45"/>
      <c r="L1" s="45"/>
      <c r="M1" s="45"/>
    </row>
    <row r="2" ht="8" customHeight="1">
      <c r="A2" s="45"/>
      <c r="B2" s="45"/>
      <c r="C2" s="45"/>
      <c r="D2" s="45"/>
      <c r="E2" s="45"/>
      <c r="F2" s="45"/>
      <c r="G2" s="45"/>
      <c r="H2" s="45"/>
      <c r="I2" s="45"/>
      <c r="J2" s="45"/>
      <c r="K2" s="45"/>
      <c r="L2" s="45"/>
      <c r="M2" s="45"/>
    </row>
    <row r="3" ht="31" customHeight="1">
      <c r="A3" s="45" t="str">
        <v>Cited references</v>
      </c>
      <c r="B3" s="45"/>
      <c r="C3" s="49" t="n">
        <f>COUNTA(K9:K183)</f>
        <v>175</v>
      </c>
      <c r="D3" s="52" t="str">
        <v>Compiled from the current 29-page draft on 24 September 2026.</v>
      </c>
      <c r="E3" s="45"/>
      <c r="F3" s="45" t="str">
        <v>Paper citations</v>
      </c>
      <c r="G3" s="53" t="n">
        <f>COUNTIFS(G9:G183,"Paper")</f>
        <v>169</v>
      </c>
      <c r="H3" s="45"/>
      <c r="I3" s="45"/>
      <c r="J3" s="45"/>
      <c r="K3" s="45"/>
      <c r="L3" s="45"/>
      <c r="M3" s="45"/>
    </row>
    <row r="4" ht="31" customHeight="1">
      <c r="A4" s="45" t="str">
        <v>Unresolved decisions</v>
      </c>
      <c r="B4" s="45"/>
      <c r="C4" s="49" t="n">
        <f>C3-COUNTIFS(H9:H183,"Include")-COUNTIFS(H9:H183,"Background")-COUNTIFS(H9:H183,"Exclude")-COUNTIFS(H9:H183,"Duplicate")</f>
        <v>175</v>
      </c>
      <c r="D4" s="52" t="str">
        <v>References and years follow the draft. Use the links and metadata notes to check source details.</v>
      </c>
      <c r="E4" s="45"/>
      <c r="F4" s="45" t="str">
        <v>Other technical sources</v>
      </c>
      <c r="G4" s="53" t="n">
        <f>COUNTIFS(G9:G183,"Technical release / software")</f>
        <v>6</v>
      </c>
      <c r="H4" s="45"/>
      <c r="I4" s="45"/>
      <c r="J4" s="45"/>
      <c r="K4" s="45"/>
      <c r="L4" s="45"/>
      <c r="M4" s="45"/>
    </row>
    <row r="5" ht="31" customHeight="1">
      <c r="A5" s="45" t="str">
        <v>Marked Include</v>
      </c>
      <c r="B5" s="45"/>
      <c r="C5" s="49" t="n">
        <f>COUNTIFS(H9:H183,"Include")</f>
        <v>0</v>
      </c>
      <c r="D5" s="52" t="str">
        <v>Choose Include, Background, Exclude or Duplicate in the amber Review decision column.</v>
      </c>
      <c r="E5" s="45"/>
      <c r="F5" s="45"/>
      <c r="G5" s="45"/>
      <c r="H5" s="45"/>
      <c r="I5" s="45"/>
      <c r="J5" s="45"/>
      <c r="K5" s="45"/>
      <c r="L5" s="45"/>
      <c r="M5" s="45"/>
    </row>
    <row r="6" ht="31" customHeight="1">
      <c r="A6" s="45" t="str">
        <v>Figure 3 count</v>
      </c>
      <c r="B6" s="45"/>
      <c r="C6" s="50" t="str">
        <f>IF(C4&gt;0,"Not finalized",C5)</f>
        <v>Not finalized</v>
      </c>
      <c r="D6" s="52" t="str">
        <v>Settle Pending, blank or invalid decisions before using the count for Figure 3. Extend count ranges if adding rows.</v>
      </c>
      <c r="E6" s="45"/>
      <c r="F6" s="45"/>
      <c r="G6" s="45"/>
      <c r="H6" s="45"/>
      <c r="I6" s="45"/>
      <c r="J6" s="45"/>
      <c r="K6" s="45"/>
      <c r="L6" s="45"/>
      <c r="M6" s="45"/>
    </row>
    <row r="7" ht="9" customHeight="1">
      <c r="A7" s="45"/>
      <c r="B7" s="45"/>
      <c r="C7" s="45"/>
      <c r="D7" s="45"/>
      <c r="E7" s="45"/>
      <c r="F7" s="45"/>
      <c r="G7" s="45"/>
      <c r="H7" s="45"/>
      <c r="I7" s="45"/>
      <c r="J7" s="45"/>
      <c r="K7" s="45"/>
      <c r="L7" s="45"/>
      <c r="M7" s="45"/>
    </row>
    <row r="8" ht="32" customHeight="1">
      <c r="A8" s="58" t="str">
        <v>Ref.</v>
      </c>
      <c r="B8" s="58" t="str">
        <v>Year (as cited)</v>
      </c>
      <c r="C8" s="58" t="str">
        <v>Reference (as cited)</v>
      </c>
      <c r="D8" s="58" t="str">
        <v>Two-sentence summary</v>
      </c>
      <c r="E8" s="58" t="str">
        <v>Primary source link</v>
      </c>
      <c r="F8" s="58" t="str">
        <v>Topic / role</v>
      </c>
      <c r="G8" s="58" t="str">
        <v>Source type</v>
      </c>
      <c r="H8" s="58" t="str">
        <v>Review decision</v>
      </c>
      <c r="I8" s="58" t="str">
        <v>Decision reason</v>
      </c>
      <c r="J8" s="58" t="str">
        <v>Report ID</v>
      </c>
      <c r="K8" s="58" t="str">
        <v>Citation key</v>
      </c>
      <c r="L8" s="58" t="str">
        <v>Metadata notes</v>
      </c>
      <c r="M8" s="58" t="str">
        <v>Summary basis</v>
      </c>
    </row>
    <row r="9" ht="70" customHeight="1">
      <c r="A9" s="60" t="n">
        <v>1</v>
      </c>
      <c r="B9" s="60" t="n">
        <v>2023</v>
      </c>
      <c r="C9" s="61" t="str">
        <v>B. Zitkovich, T. Yu, S. Xu, P. Xu, T. Xiao, F. Xia, J. Wu, P. Wohlhart, S. Welker, A. Wahid et al., “RT-2: Vision-language-action models transfer web knowledge to robotic control,” in Proc. Conf. Robot Learn. (CoRL), 2023, arXiv:2307.15818.</v>
      </c>
      <c r="D9" s="61" t="str">
        <v>RT-2 represents robot actions as tokens and co-trains on robotic trajectories and vision-language tasks. It studies how knowledge learned from web data transfers into language-conditioned manipulation.</v>
      </c>
      <c r="E9" s="63" t="str">
        <v>https://arxiv.org/abs/2307.15818</v>
      </c>
      <c r="F9" s="61" t="str">
        <v>VLA/action policy</v>
      </c>
      <c r="G9" s="61" t="str">
        <v>Paper</v>
      </c>
      <c r="H9" s="62" t="str">
        <v>Pending</v>
      </c>
      <c r="I9" s="62" t="str"/>
      <c r="J9" s="61" t="str">
        <v>arXiv:2307.15818</v>
      </c>
      <c r="K9" s="61" t="str">
        <v>rt2</v>
      </c>
      <c r="L9" s="61" t="str"/>
      <c r="M9" s="61" t="str">
        <v>Previously primary-source-checked README catalogue and manuscript discussion; no new quantitative claims.</v>
      </c>
    </row>
    <row r="10" ht="70" customHeight="1">
      <c r="A10" s="60" t="n">
        <v>2</v>
      </c>
      <c r="B10" s="60" t="n">
        <v>2024</v>
      </c>
      <c r="C10" s="61" t="str">
        <v>M. J. Kim, K. Pertsch, S. Karamcheti, T. Xiao, A. Balakrishna, S. Nair, R. Rafailov, E. Foster, G. Lam, P. Sanketi et al., “OpenVLA: An open-source vision-language-action model,” in Proc. Conf. Robot Learn. (CoRL), 2024, arXiv:2406.09246.</v>
      </c>
      <c r="D10" s="61" t="str">
        <v>OpenVLA combines pretrained visual-language representations with autoregressive robot-action prediction in an open model. It provides a generalist manipulation policy that can be adapted to new tasks through fine-tuning.</v>
      </c>
      <c r="E10" s="63" t="str">
        <v>https://arxiv.org/abs/2406.09246</v>
      </c>
      <c r="F10" s="61" t="str">
        <v>VLA/action policy</v>
      </c>
      <c r="G10" s="61" t="str">
        <v>Paper</v>
      </c>
      <c r="H10" s="62" t="str">
        <v>Pending</v>
      </c>
      <c r="I10" s="62" t="str"/>
      <c r="J10" s="61" t="str">
        <v>arXiv:2406.09246</v>
      </c>
      <c r="K10" s="61" t="str">
        <v>openvla</v>
      </c>
      <c r="L10" s="61" t="str"/>
      <c r="M10" s="61" t="str">
        <v>Previously primary-source-checked README catalogue and manuscript discussion; no new quantitative claims.</v>
      </c>
    </row>
    <row r="11" ht="62" customHeight="1">
      <c r="A11" s="60" t="n">
        <v>3</v>
      </c>
      <c r="B11" s="60" t="n">
        <v>2024</v>
      </c>
      <c r="C11" s="61" t="str">
        <v>Open X-Embodiment Collaboration, “Open X-Embodiment: Robotic learning datasets and RT-X models,” in Proc. IEEE Int. Conf. Robot. Autom. (ICRA), 2024, arXiv:2310.08864.</v>
      </c>
      <c r="D11" s="61" t="str">
        <v>Open X-Embodiment brings together robot demonstration datasets collected across different embodiments. The accompanying RT-X models examine whether training on this combined data improves transfer between robotic platforms.</v>
      </c>
      <c r="E11" s="63" t="str">
        <v>https://arxiv.org/abs/2310.08864</v>
      </c>
      <c r="F11" s="61" t="str">
        <v>Dataset/benchmark</v>
      </c>
      <c r="G11" s="61" t="str">
        <v>Paper</v>
      </c>
      <c r="H11" s="62" t="str">
        <v>Pending</v>
      </c>
      <c r="I11" s="62" t="str"/>
      <c r="J11" s="61" t="str">
        <v>arXiv:2310.08864</v>
      </c>
      <c r="K11" s="61" t="str">
        <v>oxe</v>
      </c>
      <c r="L11" s="61" t="str">
        <v>Hybrid dataset/model report: OXE and RT-X are one cited report; category reflects its dataset role.</v>
      </c>
      <c r="M11" s="61" t="str">
        <v>Previously primary-source-checked README catalogue and manuscript discussion; no new quantitative claims.</v>
      </c>
    </row>
    <row r="12" ht="70" customHeight="1">
      <c r="A12" s="60" t="n">
        <v>4</v>
      </c>
      <c r="B12" s="60" t="n">
        <v>2025</v>
      </c>
      <c r="C12" s="61" t="str">
        <v>K. Black, N. Brown, D. Driess, A. Esmail, M. Equi, C. Finn, N. Fusai, L. Groom, K. Hausman, B. Ichter et al., “π0: A vision-language-action flow model for general robot control,” in Proc. Robot.: Sci. Syst. (RSS), 2025, arXiv:2410.24164.</v>
      </c>
      <c r="D12" s="61" t="str">
        <v>The π0 model couples a pretrained vision-language backbone to a flow-matching action expert. It generates continuous action chunks for manipulation across tasks and robot embodiments.</v>
      </c>
      <c r="E12" s="63" t="str">
        <v>https://arxiv.org/abs/2410.24164</v>
      </c>
      <c r="F12" s="61" t="str">
        <v>VLA/action policy</v>
      </c>
      <c r="G12" s="61" t="str">
        <v>Paper</v>
      </c>
      <c r="H12" s="62" t="str">
        <v>Pending</v>
      </c>
      <c r="I12" s="62" t="str"/>
      <c r="J12" s="61" t="str">
        <v>arXiv:2410.24164</v>
      </c>
      <c r="K12" s="61" t="str">
        <v>pi0</v>
      </c>
      <c r="L12" s="61" t="str"/>
      <c r="M12" s="61" t="str">
        <v>Previously primary-source-checked README catalogue and manuscript discussion; no new quantitative claims.</v>
      </c>
    </row>
    <row r="13" ht="62" customHeight="1">
      <c r="A13" s="60" t="n">
        <v>5</v>
      </c>
      <c r="B13" s="60" t="n">
        <v>2025</v>
      </c>
      <c r="C13" s="61" t="str">
        <v>J. Bjorck, F. Castañeda, N. Cherniadev, X. Da, R. Ding, L. Fan, Y. Fang, D. Fox, F. Hu, S. Huang et al., “GR00T N1: An open foundation model for generalist humanoid robots,” arXiv preprint, 2025, arXiv:2503.14734.</v>
      </c>
      <c r="D13" s="61" t="str">
        <v>GR00T N1 combines vision-language interpretation with diffusion-based action generation for humanoid robots. Its dual-system design connects slower semantic processing with continuous control.</v>
      </c>
      <c r="E13" s="63" t="str">
        <v>https://arxiv.org/abs/2503.14734</v>
      </c>
      <c r="F13" s="61" t="str">
        <v>VLA/action policy</v>
      </c>
      <c r="G13" s="61" t="str">
        <v>Paper</v>
      </c>
      <c r="H13" s="62" t="str">
        <v>Pending</v>
      </c>
      <c r="I13" s="62" t="str"/>
      <c r="J13" s="61" t="str">
        <v>arXiv:2503.14734</v>
      </c>
      <c r="K13" s="61" t="str">
        <v>groot</v>
      </c>
      <c r="L13" s="61" t="str"/>
      <c r="M13" s="61" t="str">
        <v>Previously primary-source-checked README catalogue and manuscript discussion; no new quantitative claims.</v>
      </c>
    </row>
    <row r="14" ht="62" customHeight="1">
      <c r="A14" s="60" t="n">
        <v>6</v>
      </c>
      <c r="B14" s="60" t="n">
        <v>2025</v>
      </c>
      <c r="C14" s="61" t="str">
        <v>Gemini Robotics Team, “Gemini Robotics: Bringing AI into the physical world,” arXiv preprint, 2025, arXiv:2503.20020.</v>
      </c>
      <c r="D14" s="61" t="str">
        <v>Gemini Robotics extends a Gemini vision-language model to generate robot actions from observations and instructions. The developer-reported study examines manipulation capabilities and transfer across embodiments.</v>
      </c>
      <c r="E14" s="63" t="str">
        <v>https://arxiv.org/abs/2503.20020</v>
      </c>
      <c r="F14" s="61" t="str">
        <v>VLA/action policy</v>
      </c>
      <c r="G14" s="61" t="str">
        <v>Paper</v>
      </c>
      <c r="H14" s="62" t="str">
        <v>Pending</v>
      </c>
      <c r="I14" s="62" t="str"/>
      <c r="J14" s="61" t="str">
        <v>arXiv:2503.20020</v>
      </c>
      <c r="K14" s="61" t="str">
        <v>geminirobotics</v>
      </c>
      <c r="L14" s="61" t="str">
        <v>Vendor-authored technical research paper, not reclassified as nonpaper simply because evidence is vendor-reported.</v>
      </c>
      <c r="M14" s="61" t="str">
        <v>Previously primary-source-checked README catalogue and manuscript discussion; no new quantitative claims.</v>
      </c>
    </row>
    <row r="15" ht="62" customHeight="1">
      <c r="A15" s="60" t="n">
        <v>7</v>
      </c>
      <c r="B15" s="60" t="n">
        <v>2025</v>
      </c>
      <c r="C15" s="61" t="str">
        <v>Figure AI, “Helix: A vision-language-action model for generalist humanoid control,” Figure AI technical blog, , 2025.</v>
      </c>
      <c r="D15" s="61" t="str">
        <v>Helix combines a slower vision-language component with a faster continuous-action controller for humanoid upper-body manipulation. The cited vendor release describes this dual-system architecture and its demonstrated behaviors.</v>
      </c>
      <c r="E15" s="63" t="str">
        <v>https://www.figure.ai/news/helix</v>
      </c>
      <c r="F15" s="61" t="str">
        <v>Vendor technical release</v>
      </c>
      <c r="G15" s="61" t="str">
        <v>Technical release / software</v>
      </c>
      <c r="H15" s="62" t="str">
        <v>Pending</v>
      </c>
      <c r="I15" s="62" t="str"/>
      <c r="J15" s="61" t="str">
        <v>https://www.figure.ai/news/helix</v>
      </c>
      <c r="K15" s="61" t="str">
        <v>helix</v>
      </c>
      <c r="L15" s="61" t="str"/>
      <c r="M15" s="61" t="str">
        <v>Previously primary-source-checked README catalogue and manuscript discussion; no new quantitative claims.</v>
      </c>
    </row>
    <row r="16" ht="62" customHeight="1">
      <c r="A16" s="60" t="n">
        <v>8</v>
      </c>
      <c r="B16" s="60" t="n">
        <v>2025</v>
      </c>
      <c r="C16" s="61" t="str">
        <v>M. J. Kim, C. Finn, and P. Liang, “Fine-tuning vision-languageaction models: Optimizing speed and success,” arXiv preprint, 2025, arXiv:2502.19645.</v>
      </c>
      <c r="D16" s="61" t="str">
        <v>OpenVLA-OFT studies fine-tuning choices for faster and more successful VLA control. Its recipe uses action chunking and parallel continuous regression instead of sequential action-token decoding.</v>
      </c>
      <c r="E16" s="63" t="str">
        <v>https://arxiv.org/abs/2502.19645</v>
      </c>
      <c r="F16" s="61" t="str">
        <v>Policy training/adaptation method</v>
      </c>
      <c r="G16" s="61" t="str">
        <v>Paper</v>
      </c>
      <c r="H16" s="62" t="str">
        <v>Pending</v>
      </c>
      <c r="I16" s="62" t="str"/>
      <c r="J16" s="61" t="str">
        <v>arXiv:2502.19645</v>
      </c>
      <c r="K16" s="61" t="str">
        <v>openvlaoft</v>
      </c>
      <c r="L16" s="61" t="str"/>
      <c r="M16" s="61" t="str">
        <v>Previously primary-source-checked README catalogue and manuscript discussion; no new quantitative claims.</v>
      </c>
    </row>
    <row r="17" ht="62" customHeight="1">
      <c r="A17" s="60" t="n">
        <v>9</v>
      </c>
      <c r="B17" s="60" t="n">
        <v>2025</v>
      </c>
      <c r="C17" s="61" t="str">
        <v>S. Fei, S. Wang, J. Shi, Z. Dai, J. Cai, P. Qian, L. Ji, X. He, S. Zhang, Z. Fei et al., “LIBERO-Plus: In-depth robustness analysis of vision-language-action models,” arXiv preprint, 2025, arXiv:2510.13626.</v>
      </c>
      <c r="D17" s="61" t="str">
        <v>LIBERO-Plus probes manipulation policies with controlled visual, physical-configuration, and instruction perturbations. Its instruction-removal and goal-replacement tests distinguish apparent language robustness from reliable instruction grounding.</v>
      </c>
      <c r="E17" s="63" t="str">
        <v>https://arxiv.org/abs/2510.13626</v>
      </c>
      <c r="F17" s="61" t="str">
        <v>Dataset/benchmark</v>
      </c>
      <c r="G17" s="61" t="str">
        <v>Paper</v>
      </c>
      <c r="H17" s="62" t="str">
        <v>Pending</v>
      </c>
      <c r="I17" s="62" t="str"/>
      <c r="J17" s="61" t="str">
        <v>arXiv:2510.13626</v>
      </c>
      <c r="K17" s="61" t="str">
        <v>liberoplus</v>
      </c>
      <c r="L17" s="61" t="str"/>
      <c r="M17" s="61" t="str">
        <v>Previously primary-source-checked README catalogue and manuscript discussion; no new quantitative claims.</v>
      </c>
    </row>
    <row r="18" ht="62" customHeight="1">
      <c r="A18" s="60" t="n">
        <v>10</v>
      </c>
      <c r="B18" s="60" t="n">
        <v>2025</v>
      </c>
      <c r="C18" s="61" t="str">
        <v>A. Jain, M. Zhang, K. Arora, W. Chen, M. Torne, M. Z. Irshad, S. Zakharov, Y. Wang, S. Levine, C. Finn et al., “PolaRiS: Scalable real-to-sim evaluations for generalist robot policies,” arXiv preprint, 2025, arXiv:2512.16881.</v>
      </c>
      <c r="D18" s="61" t="str">
        <v>PolaRiS reconstructs interactive simulation environments from short scans of real scenes for robot-policy evaluation. Paired simulated and physical tests examine how well these evaluations predict real-world performance.</v>
      </c>
      <c r="E18" s="63" t="str">
        <v>https://arxiv.org/abs/2512.16881</v>
      </c>
      <c r="F18" s="61" t="str">
        <v>Dataset/benchmark</v>
      </c>
      <c r="G18" s="61" t="str">
        <v>Paper</v>
      </c>
      <c r="H18" s="62" t="str">
        <v>Pending</v>
      </c>
      <c r="I18" s="62" t="str"/>
      <c r="J18" s="61" t="str">
        <v>arXiv:2512.16881</v>
      </c>
      <c r="K18" s="61" t="str">
        <v>polaris</v>
      </c>
      <c r="L18" s="61" t="str">
        <v>Evaluation framework/method paper grouped with benchmark/evaluation sources; not a mere data file.</v>
      </c>
      <c r="M18" s="61" t="str">
        <v>Primary-source abstract or article and manuscript context; source reviewed 2026-09-24.</v>
      </c>
    </row>
    <row r="19" ht="70" customHeight="1">
      <c r="A19" s="60" t="n">
        <v>11</v>
      </c>
      <c r="B19" s="60" t="n">
        <v>2026</v>
      </c>
      <c r="C19" s="61" t="str">
        <v>H. Li, Y. Zuo, J. Yu, Y. Zhang, Z. Yang, K. Zhang, X. Zhu, Y. Zhang, T. Chen, G. Cui et al., “SimpleVLA-RL: Scaling VLA training via reinforcement learning,” in Proc. Int. Conf. Learn. Representations (ICLR), 2026, arXiv:2509.09674.</v>
      </c>
      <c r="D19" s="61" t="str">
        <v>SimpleVLA-RL adapts VLA policies through online reinforcement learning with stochastic action-token decoding. It evaluates how interaction changes performance under different demonstration budgets.</v>
      </c>
      <c r="E19" s="63" t="str">
        <v>https://arxiv.org/abs/2509.09674</v>
      </c>
      <c r="F19" s="61" t="str">
        <v>Policy training/adaptation method</v>
      </c>
      <c r="G19" s="61" t="str">
        <v>Paper</v>
      </c>
      <c r="H19" s="62" t="str">
        <v>Pending</v>
      </c>
      <c r="I19" s="62" t="str"/>
      <c r="J19" s="61" t="str">
        <v>arXiv:2509.09674</v>
      </c>
      <c r="K19" s="61" t="str">
        <v>simplevlarl</v>
      </c>
      <c r="L19" s="61" t="str"/>
      <c r="M19" s="61" t="str">
        <v>Previously primary-source-checked README catalogue and manuscript discussion; no new quantitative claims.</v>
      </c>
    </row>
    <row r="20" ht="62" customHeight="1">
      <c r="A20" s="60" t="n">
        <v>12</v>
      </c>
      <c r="B20" s="60" t="n">
        <v>2025</v>
      </c>
      <c r="C20" s="61" t="str">
        <v>S. Tan, K. Dou, Y. Zhao, and P. Krähenbühl, “Interactive post-training for vision-language-action models,” arXiv preprint, 2025, arXiv:2505.17016.</v>
      </c>
      <c r="D20" s="61" t="str">
        <v>RIPT-VLA fine-tunes pretrained robot policies through reinforcement learning with sparse task-success rewards. It studies interactive post-training of both lightweight and larger policies under limited supervision.</v>
      </c>
      <c r="E20" s="63" t="str">
        <v>https://arxiv.org/abs/2505.17016</v>
      </c>
      <c r="F20" s="61" t="str">
        <v>Policy training/adaptation method</v>
      </c>
      <c r="G20" s="61" t="str">
        <v>Paper</v>
      </c>
      <c r="H20" s="62" t="str">
        <v>Pending</v>
      </c>
      <c r="I20" s="62" t="str"/>
      <c r="J20" s="61" t="str">
        <v>arXiv:2505.17016</v>
      </c>
      <c r="K20" s="61" t="str">
        <v>riptvla</v>
      </c>
      <c r="L20" s="61" t="str"/>
      <c r="M20" s="61" t="str">
        <v>Previously primary-source-checked README catalogue and manuscript discussion; no new quantitative claims.</v>
      </c>
    </row>
    <row r="21" ht="70" customHeight="1">
      <c r="A21" s="60" t="n">
        <v>13</v>
      </c>
      <c r="B21" s="60" t="n">
        <v>2025</v>
      </c>
      <c r="C21" s="61" t="str">
        <v>M. Assran, A. Bardes, D. Fan, Q. Garrido, R. Howes, M. Komeili, M. Muckley, A. Rizvi, C. Roberts, K. Sinha et al., “V-JEPA 2: Selfsupervised video models enable understanding, prediction and planning,” arXiv preprint, 2025, arXiv:2506.09985.</v>
      </c>
      <c r="D21" s="61" t="str">
        <v>V-JEPA 2 learns predictive video representations from action-free video at scale. Its separately adapted V-JEPA 2-AC model predicts action-conditioned latent transitions for planning toward image goals.</v>
      </c>
      <c r="E21" s="63" t="str">
        <v>https://arxiv.org/abs/2506.09985</v>
      </c>
      <c r="F21" s="61" t="str">
        <v>World model/predictive system</v>
      </c>
      <c r="G21" s="61" t="str">
        <v>Paper</v>
      </c>
      <c r="H21" s="62" t="str">
        <v>Pending</v>
      </c>
      <c r="I21" s="62" t="str"/>
      <c r="J21" s="61" t="str">
        <v>arXiv:2506.09985</v>
      </c>
      <c r="K21" s="61" t="str">
        <v>vjepa2</v>
      </c>
      <c r="L21" s="61" t="str"/>
      <c r="M21" s="61" t="str">
        <v>Previously primary-source-checked README catalogue and manuscript discussion; no new quantitative claims.</v>
      </c>
    </row>
    <row r="22" ht="62" customHeight="1">
      <c r="A22" s="60" t="n">
        <v>14</v>
      </c>
      <c r="B22" s="60" t="n">
        <v>2025</v>
      </c>
      <c r="C22" s="61" t="str">
        <v>J. Jang, S. Ye, Z. Lin, J. Xiang, J. Bjorck, Y. Fang, F. Hu, S. Huang, K. Kundalia, Y.-C. Lin et al., “DreamGen: Unlocking generalization in robot learning through video world models,” arXiv preprint, 2025, arXiv:2505.12705.</v>
      </c>
      <c r="D22" s="61" t="str">
        <v>DreamGen generates task-conditioned robot videos and obtains pseudo-action labels through inverse dynamics. The resulting synthetic trajectories augment policy training as an offline data-generation pipeline.</v>
      </c>
      <c r="E22" s="63" t="str">
        <v>https://arxiv.org/abs/2505.12705</v>
      </c>
      <c r="F22" s="61" t="str">
        <v>World model/predictive system</v>
      </c>
      <c r="G22" s="61" t="str">
        <v>Paper</v>
      </c>
      <c r="H22" s="62" t="str">
        <v>Pending</v>
      </c>
      <c r="I22" s="62" t="str"/>
      <c r="J22" s="61" t="str">
        <v>arXiv:2505.12705</v>
      </c>
      <c r="K22" s="61" t="str">
        <v>dreamgen</v>
      </c>
      <c r="L22" s="61" t="str"/>
      <c r="M22" s="61" t="str">
        <v>Previously primary-source-checked README catalogue and manuscript discussion; no new quantitative claims.</v>
      </c>
    </row>
    <row r="23" ht="62" customHeight="1">
      <c r="A23" s="60" t="n">
        <v>15</v>
      </c>
      <c r="B23" s="60" t="n">
        <v>2025</v>
      </c>
      <c r="C23" s="61" t="str">
        <v>D. Hafner, W. Yan, and T. Lillicrap, “Training agents inside of scalable world models,” arXiv preprint, 2025, arXiv:2509.24527.</v>
      </c>
      <c r="D23" s="61" t="str">
        <v>Dreamer 4 trains agents inside a scalable video world model learned from offline data. Its main application is Minecraft, while separate ablations examine the amount of action-labeled video required for prediction.</v>
      </c>
      <c r="E23" s="63" t="str">
        <v>https://arxiv.org/abs/2509.24527</v>
      </c>
      <c r="F23" s="61" t="str">
        <v>World model/predictive system</v>
      </c>
      <c r="G23" s="61" t="str">
        <v>Paper</v>
      </c>
      <c r="H23" s="62" t="str">
        <v>Pending</v>
      </c>
      <c r="I23" s="62" t="str"/>
      <c r="J23" s="61" t="str">
        <v>arXiv:2509.24527</v>
      </c>
      <c r="K23" s="61" t="str">
        <v>dreamer4</v>
      </c>
      <c r="L23" s="61" t="str"/>
      <c r="M23" s="61" t="str">
        <v>Previously primary-source-checked README catalogue and manuscript discussion; no new quantitative claims.</v>
      </c>
    </row>
    <row r="24" ht="62" customHeight="1">
      <c r="A24" s="60" t="n">
        <v>16</v>
      </c>
      <c r="B24" s="60" t="n">
        <v>2025</v>
      </c>
      <c r="C24" s="61" t="str">
        <v>J. Cen, C. Yu, H. Yuan, Y. Jiang, S. Huang, J. Guo, X. Li, Y. Song, H. Luo, F. Wang et al., “WorldVLA: Towards autoregressive action world model,” arXiv preprint, 2025, arXiv:2506.21539.</v>
      </c>
      <c r="D24" s="61" t="str">
        <v>WorldVLA uses shared autoregressive modeling for robot actions and future observations. Its predictive-training experiments provide evidence about joint learning without establishing a general advantage for online candidate-action search.</v>
      </c>
      <c r="E24" s="63" t="str">
        <v>https://arxiv.org/abs/2506.21539</v>
      </c>
      <c r="F24" s="61" t="str">
        <v>World model/predictive system</v>
      </c>
      <c r="G24" s="61" t="str">
        <v>Paper</v>
      </c>
      <c r="H24" s="62" t="str">
        <v>Pending</v>
      </c>
      <c r="I24" s="62" t="str"/>
      <c r="J24" s="61" t="str">
        <v>arXiv:2506.21539</v>
      </c>
      <c r="K24" s="61" t="str">
        <v>worldvla</v>
      </c>
      <c r="L24" s="61" t="str"/>
      <c r="M24" s="61" t="str">
        <v>Previously primary-source-checked README catalogue and manuscript discussion; no new quantitative claims.</v>
      </c>
    </row>
    <row r="25" ht="70" customHeight="1">
      <c r="A25" s="60" t="n">
        <v>17</v>
      </c>
      <c r="B25" s="60" t="n">
        <v>2026</v>
      </c>
      <c r="C25" s="61" t="str">
        <v>M. J. Kim, Y. Gao, T.-Y. Lin, Y.-C. Lin, Y. Ge, G. Lam, P. Liang, S. Song, M.-Y. Liu, C. Finn, and J. Gu, “Cosmos Policy: Fine-tuning video models for visuomotor control and planning,” in Proc. Int. Conf. Learn. Representations (ICLR), 2026, arXiv:2601.16163.</v>
      </c>
      <c r="D25" s="61" t="str">
        <v>Cosmos Policy adapts a video model to jointly generate actions, future states, and values. It evaluates direct visuomotor execution alongside rollout refinement and candidate selection for planning.</v>
      </c>
      <c r="E25" s="63" t="str">
        <v>https://arxiv.org/abs/2601.16163</v>
      </c>
      <c r="F25" s="61" t="str">
        <v>World model/predictive system</v>
      </c>
      <c r="G25" s="61" t="str">
        <v>Paper</v>
      </c>
      <c r="H25" s="62" t="str">
        <v>Pending</v>
      </c>
      <c r="I25" s="62" t="str"/>
      <c r="J25" s="61" t="str">
        <v>arXiv:2601.16163</v>
      </c>
      <c r="K25" s="61" t="str">
        <v>cosmospolicy</v>
      </c>
      <c r="L25" s="61" t="str"/>
      <c r="M25" s="61" t="str">
        <v>Previously primary-source-checked README catalogue and manuscript discussion; no new quantitative claims.</v>
      </c>
    </row>
    <row r="26" ht="62" customHeight="1">
      <c r="A26" s="60" t="n">
        <v>18</v>
      </c>
      <c r="B26" s="60" t="n">
        <v>2026</v>
      </c>
      <c r="C26" s="61" t="str">
        <v>Y. Ma, Z. Song, Y. Zhuang, J. Hao, and I. King, “A survey on vision-language-action models for embodied AI,” IEEE Trans. Neural Netw. Learn. Syst, 2026, arXiv:2405.14093.</v>
      </c>
      <c r="D26" s="61" t="str">
        <v>This survey organizes VLA research into model components, low-level control policies, and high-level task planners. It also reviews datasets, simulators, and benchmarks that support language-conditioned embodied action.</v>
      </c>
      <c r="E26" s="63" t="str">
        <v>https://arxiv.org/abs/2405.14093</v>
      </c>
      <c r="F26" s="61" t="str">
        <v>Survey</v>
      </c>
      <c r="G26" s="61" t="str">
        <v>Paper</v>
      </c>
      <c r="H26" s="62" t="str">
        <v>Pending</v>
      </c>
      <c r="I26" s="62" t="str"/>
      <c r="J26" s="61" t="str">
        <v>arXiv:2405.14093</v>
      </c>
      <c r="K26" s="61" t="str">
        <v>ma2024survey</v>
      </c>
      <c r="L26" s="61" t="str"/>
      <c r="M26" s="61" t="str">
        <v>Primary-source abstract or article and manuscript context; source reviewed 2026-09-24.</v>
      </c>
    </row>
    <row r="27" ht="62" customHeight="1">
      <c r="A27" s="60" t="n">
        <v>19</v>
      </c>
      <c r="B27" s="60" t="n">
        <v>2025</v>
      </c>
      <c r="C27" s="61" t="str">
        <v>Y. Zhong, F. Bai, S. Cai, X. Huang, Z. Chen, X. Zhang, Y. Wang, S. Guo, T. Guan, K. N. Lui et al., “A survey on vision-language-action models: An action tokenization perspective,” arXiv preprint, 2025, arXiv:2507.01925.</v>
      </c>
      <c r="D27" s="61" t="str">
        <v>This survey compares VLA systems through the intermediate representations used to express actions. Its tokenization taxonomy spans language, code, affordances, trajectories, goals, latent codes, raw actions, and reasoning.</v>
      </c>
      <c r="E27" s="63" t="str">
        <v>https://arxiv.org/abs/2507.01925</v>
      </c>
      <c r="F27" s="61" t="str">
        <v>Survey</v>
      </c>
      <c r="G27" s="61" t="str">
        <v>Paper</v>
      </c>
      <c r="H27" s="62" t="str">
        <v>Pending</v>
      </c>
      <c r="I27" s="62" t="str"/>
      <c r="J27" s="61" t="str">
        <v>arXiv:2507.01925</v>
      </c>
      <c r="K27" s="61" t="str">
        <v>zhong2025token</v>
      </c>
      <c r="L27" s="61" t="str"/>
      <c r="M27" s="61" t="str">
        <v>Primary-source abstract or article and manuscript context; source reviewed 2026-09-24.</v>
      </c>
    </row>
    <row r="28" ht="62" customHeight="1">
      <c r="A28" s="60" t="n">
        <v>20</v>
      </c>
      <c r="B28" s="60" t="n">
        <v>2025</v>
      </c>
      <c r="C28" s="61" t="str">
        <v>K. Kawaharazuka, J. Oh, J. Yamada, I. Posner, and Y. Zhu, “Visionlanguage-action models for robotics: A review towards real-world applications,” IEEE Access, vol. 13, pp. 162 467–162 504, 2025.</v>
      </c>
      <c r="D28" s="61" t="str">
        <v>This review connects VLA architectures and learning methods with the practical requirements of robot deployment. It covers hardware platforms, data collection, augmentation, datasets, and evaluation alongside model design.</v>
      </c>
      <c r="E28" s="63" t="str">
        <v>https://arxiv.org/abs/2510.07077</v>
      </c>
      <c r="F28" s="61" t="str">
        <v>Survey</v>
      </c>
      <c r="G28" s="61" t="str">
        <v>Paper</v>
      </c>
      <c r="H28" s="62" t="str">
        <v>Pending</v>
      </c>
      <c r="I28" s="62" t="str"/>
      <c r="J28" s="61" t="str">
        <v>arXiv:2510.07077</v>
      </c>
      <c r="K28" s="61" t="str">
        <v>kawaharazuka2025</v>
      </c>
      <c r="L28" s="61" t="str"/>
      <c r="M28" s="61" t="str">
        <v>Primary-source abstract or article and manuscript context; source reviewed 2026-09-24.</v>
      </c>
    </row>
    <row r="29" ht="62" customHeight="1">
      <c r="A29" s="60" t="n">
        <v>21</v>
      </c>
      <c r="B29" s="60" t="n">
        <v>2026</v>
      </c>
      <c r="C29" s="61" t="str">
        <v>M. U. Din, W. Akram, L. S. Saoud, J. Rosell, and I. Hussain, “Multimodal fusion with vision-language-action models for robotic manipulation: A systematic review,” Information Fusion, vol. 129, p. 104062, 2026.</v>
      </c>
      <c r="D29" s="61" t="str">
        <v>This systematic review organizes manipulation VLAs by multimodal fusion strategies, architectures, datasets, and evaluation resources. It also develops an agentic outlook in which planners use VLA skills with verification and diagnostic feedback.</v>
      </c>
      <c r="E29" s="63" t="str">
        <v>https://doi.org/10.1016/j.inffus.2025.104062</v>
      </c>
      <c r="F29" s="61" t="str">
        <v>Survey</v>
      </c>
      <c r="G29" s="61" t="str">
        <v>Paper</v>
      </c>
      <c r="H29" s="62" t="str">
        <v>Pending</v>
      </c>
      <c r="I29" s="62" t="str"/>
      <c r="J29" s="61" t="str">
        <v>10.1016/j.inffus.2025.104062</v>
      </c>
      <c r="K29" s="61" t="str">
        <v>din2025priorvlasurvey</v>
      </c>
      <c r="L29" s="61" t="str"/>
      <c r="M29" s="61" t="str">
        <v>Published article abstract and agentic-framework discussion, previously checked in the authors institutional repository.</v>
      </c>
    </row>
    <row r="30" ht="62" customHeight="1">
      <c r="A30" s="60" t="n">
        <v>22</v>
      </c>
      <c r="B30" s="60" t="n">
        <v>2026</v>
      </c>
      <c r="C30" s="61" t="str">
        <v>B. Hou, G. Li, J. Jia, T. An, X. Guo, S. Leng, H. Geng, Y. Ze, T. Harada, P. Torr et al., “World model for robot learning: A comprehensive survey,” arXiv preprint, 2026, arXiv:2605.00080.</v>
      </c>
      <c r="D30" s="61" t="str">
        <v>This survey reviews world models according to their roles in robot-policy learning, planning, simulation, data generation, and evaluation. It relates policy coupling and controllable video prediction to datasets and experimental protocols across embodied domains.</v>
      </c>
      <c r="E30" s="63" t="str">
        <v>https://arxiv.org/abs/2605.00080</v>
      </c>
      <c r="F30" s="61" t="str">
        <v>Survey</v>
      </c>
      <c r="G30" s="61" t="str">
        <v>Paper</v>
      </c>
      <c r="H30" s="62" t="str">
        <v>Pending</v>
      </c>
      <c r="I30" s="62" t="str"/>
      <c r="J30" s="61" t="str">
        <v>arXiv:2605.00080</v>
      </c>
      <c r="K30" s="61" t="str">
        <v>hou2026wm</v>
      </c>
      <c r="L30" s="61" t="str"/>
      <c r="M30" s="61" t="str">
        <v>Primary-source abstract or article and manuscript context; source reviewed 2026-09-24.</v>
      </c>
    </row>
    <row r="31" ht="62" customHeight="1">
      <c r="A31" s="60" t="n">
        <v>23</v>
      </c>
      <c r="B31" s="60" t="n">
        <v>2025</v>
      </c>
      <c r="C31" s="61" t="str">
        <v>X. Li, X. He, L. Zhang, M. Wu, X. Li, and Y. Liu, “A comprehensive survey on world models for embodied AI,” arXiv preprint, 2025, arXiv:2510.16732.</v>
      </c>
      <c r="D31" s="61" t="str">
        <v>This survey classifies embodied world models by functionality, temporal modeling, and spatial representation. It compares data resources and evaluation criteria while emphasizing physical consistency, temporal coherence, and computational cost.</v>
      </c>
      <c r="E31" s="63" t="str">
        <v>https://arxiv.org/abs/2510.16732</v>
      </c>
      <c r="F31" s="61" t="str">
        <v>Survey</v>
      </c>
      <c r="G31" s="61" t="str">
        <v>Paper</v>
      </c>
      <c r="H31" s="62" t="str">
        <v>Pending</v>
      </c>
      <c r="I31" s="62" t="str"/>
      <c r="J31" s="61" t="str">
        <v>arXiv:2510.16732</v>
      </c>
      <c r="K31" s="61" t="str">
        <v>li2025wm</v>
      </c>
      <c r="L31" s="61" t="str"/>
      <c r="M31" s="61" t="str">
        <v>Primary-source abstract or article and manuscript context; source reviewed 2026-09-24.</v>
      </c>
    </row>
    <row r="32" ht="70" customHeight="1">
      <c r="A32" s="60" t="n">
        <v>24</v>
      </c>
      <c r="B32" s="60" t="n">
        <v>2026</v>
      </c>
      <c r="C32" s="61" t="str">
        <v>F. Wang, Z. Wang, G. Pei, M. Zhang, C. Liang, J. Hu, Z. Li, J. Wu, N. Han, Z. Zhang, J. Qi, H. Wu, S. Zhang, P. Zheng, J. Pan, D. NavarroAlarcon, S. Liu, and P. Zhou, “World models for robotic manipulation: A survey,” arXiv preprint, 2026, arXiv:2606.00113.</v>
      </c>
      <c r="D32" s="61" t="str">
        <v>This manipulation-focused survey separates predicted representations, action coupling, and the stage at which prediction is used. It distinguishes integrated prediction-action systems from explicit planners and examines evaluation of predictive fidelity and control utility.</v>
      </c>
      <c r="E32" s="63" t="str">
        <v>https://arxiv.org/abs/2606.00113</v>
      </c>
      <c r="F32" s="61" t="str">
        <v>Survey</v>
      </c>
      <c r="G32" s="61" t="str">
        <v>Paper</v>
      </c>
      <c r="H32" s="62" t="str">
        <v>Pending</v>
      </c>
      <c r="I32" s="62" t="str"/>
      <c r="J32" s="61" t="str">
        <v>arXiv:2606.00113</v>
      </c>
      <c r="K32" s="61" t="str">
        <v>wang2026manipwmsurvey</v>
      </c>
      <c r="L32" s="61" t="str"/>
      <c r="M32" s="61" t="str">
        <v>Primary-source abstract or article and manuscript context; source reviewed 2026-09-24.</v>
      </c>
    </row>
    <row r="33" ht="62" customHeight="1">
      <c r="A33" s="60" t="n">
        <v>25</v>
      </c>
      <c r="B33" s="60" t="n">
        <v>2026</v>
      </c>
      <c r="C33" s="61" t="str">
        <v>S. Wang, J. Shi, Z. Fu, X. He, F. Liu, C. Yang, Y. Zhou, Z. Fei, J. Gong, J. Fu, M. Z. Shou, X. Huang, X. Qiu, and Y.-G. Jiang, “World action models: The next frontier in embodied AI,” arXiv preprint, 2026, arXiv:2605.12090.</v>
      </c>
      <c r="D33" s="61" t="str">
        <v>This survey describes world-action models as systems that combine predictive state modeling with action generation. It distinguishes cascaded and joint architectures and reviews their data requirements and evaluation dimensions.</v>
      </c>
      <c r="E33" s="63" t="str">
        <v>https://arxiv.org/abs/2605.12090</v>
      </c>
      <c r="F33" s="61" t="str">
        <v>Survey</v>
      </c>
      <c r="G33" s="61" t="str">
        <v>Paper</v>
      </c>
      <c r="H33" s="62" t="str">
        <v>Pending</v>
      </c>
      <c r="I33" s="62" t="str"/>
      <c r="J33" s="61" t="str">
        <v>arXiv:2605.12090</v>
      </c>
      <c r="K33" s="61" t="str">
        <v>wamfrontier</v>
      </c>
      <c r="L33" s="61" t="str"/>
      <c r="M33" s="61" t="str">
        <v>Primary-source abstract or article and manuscript context; source reviewed 2026-09-24.</v>
      </c>
    </row>
    <row r="34" ht="62" customHeight="1">
      <c r="A34" s="60" t="n">
        <v>26</v>
      </c>
      <c r="B34" s="60" t="n">
        <v>2026</v>
      </c>
      <c r="C34" s="61" t="str">
        <v>Q. Shen, S. Zhang, Y. Liao, Q. Li, Z. Tan, S. Wang, X. Wang et al., “World action models: A survey,” arXiv preprint, 2026, arXiv:2606.20781.</v>
      </c>
      <c r="D34" s="61" t="str">
        <v>This survey distinguishes world-action models by the futures they generate and how prediction is connected to actions. It compares predictive representations, backbones, deployment modes, and the trade-offs between forecast detail and control cost.</v>
      </c>
      <c r="E34" s="63" t="str">
        <v>https://arxiv.org/abs/2606.20781</v>
      </c>
      <c r="F34" s="61" t="str">
        <v>Survey</v>
      </c>
      <c r="G34" s="61" t="str">
        <v>Paper</v>
      </c>
      <c r="H34" s="62" t="str">
        <v>Pending</v>
      </c>
      <c r="I34" s="62" t="str"/>
      <c r="J34" s="61" t="str">
        <v>arXiv:2606.20781</v>
      </c>
      <c r="K34" s="61" t="str">
        <v>wamsurvey</v>
      </c>
      <c r="L34" s="61" t="str"/>
      <c r="M34" s="61" t="str">
        <v>Primary-source abstract or article and manuscript context; source reviewed 2026-09-24.</v>
      </c>
    </row>
    <row r="35" ht="62" customHeight="1">
      <c r="A35" s="60" t="n">
        <v>27</v>
      </c>
      <c r="B35" s="60" t="n">
        <v>2025</v>
      </c>
      <c r="C35" s="61" t="str">
        <v>R. Sapkota, Y. Cao, K. I. Roumeliotis, and M. Karkee, “Vision-languageaction models: Concepts, progress, applications and challenges,” arXiv preprint, 2025, arXiv:2505.04769.</v>
      </c>
      <c r="D35" s="61" t="str">
        <v>This review introduces VLA concepts and surveys architectures, training strategies, and inference methods. It examines applications across robotic domains and discusses adaptation and cross-embodiment planning challenges.</v>
      </c>
      <c r="E35" s="63" t="str">
        <v>https://arxiv.org/abs/2505.04769</v>
      </c>
      <c r="F35" s="61" t="str">
        <v>Survey</v>
      </c>
      <c r="G35" s="61" t="str">
        <v>Paper</v>
      </c>
      <c r="H35" s="62" t="str">
        <v>Pending</v>
      </c>
      <c r="I35" s="62" t="str"/>
      <c r="J35" s="61" t="str">
        <v>arXiv:2505.04769</v>
      </c>
      <c r="K35" s="61" t="str">
        <v>sapkota2025</v>
      </c>
      <c r="L35" s="61" t="str"/>
      <c r="M35" s="61" t="str">
        <v>Primary-source abstract or article and manuscript context; source reviewed 2026-09-24.</v>
      </c>
    </row>
    <row r="36" ht="62" customHeight="1">
      <c r="A36" s="60" t="n">
        <v>28</v>
      </c>
      <c r="B36" s="60" t="n">
        <v>2025</v>
      </c>
      <c r="C36" s="61" t="str">
        <v>R. Shao, W. Li, L. Zhang, R. Zhang, Z. Liu, R. Chen, and L. Nie, “Large VLM-based vision-language-action models for robotic manipulation: A survey,” arXiv preprint, 2025, arXiv:2508.13073.</v>
      </c>
      <c r="D36" s="61" t="str">
        <v>This survey focuses on manipulation policies built on large pretrained vision-language models. It distinguishes monolithic and hierarchical architectures and reviews connections with reinforcement learning, human video, and world models.</v>
      </c>
      <c r="E36" s="63" t="str">
        <v>https://arxiv.org/abs/2508.13073</v>
      </c>
      <c r="F36" s="61" t="str">
        <v>Survey</v>
      </c>
      <c r="G36" s="61" t="str">
        <v>Paper</v>
      </c>
      <c r="H36" s="62" t="str">
        <v>Pending</v>
      </c>
      <c r="I36" s="62" t="str"/>
      <c r="J36" s="61" t="str">
        <v>arXiv:2508.13073</v>
      </c>
      <c r="K36" s="61" t="str">
        <v>shao2025</v>
      </c>
      <c r="L36" s="61" t="str"/>
      <c r="M36" s="61" t="str">
        <v>Primary-source abstract or article and manuscript context; source reviewed 2026-09-24.</v>
      </c>
    </row>
    <row r="37" ht="62" customHeight="1">
      <c r="A37" s="60" t="n">
        <v>29</v>
      </c>
      <c r="B37" s="60" t="n">
        <v>2025</v>
      </c>
      <c r="C37" s="61" t="str">
        <v>Z. Yu, B. Wang, P. Zeng, H. Zhang, J. Zhang, Z. Wang, L. Gao, J. Song, N. Sebe, and H. T. Shen, “A survey on efficient vision-language-action models,” arXiv preprint, 2025, arXiv:2510.24795.</v>
      </c>
      <c r="D37" s="61" t="str">
        <v>This survey organizes VLA efficiency research around model design, training, and robotic-data collection. It compares architectural compression and other resource-saving strategies across the learning and deployment pipeline.</v>
      </c>
      <c r="E37" s="63" t="str">
        <v>https://arxiv.org/abs/2510.24795</v>
      </c>
      <c r="F37" s="61" t="str">
        <v>Survey</v>
      </c>
      <c r="G37" s="61" t="str">
        <v>Paper</v>
      </c>
      <c r="H37" s="62" t="str">
        <v>Pending</v>
      </c>
      <c r="I37" s="62" t="str"/>
      <c r="J37" s="61" t="str">
        <v>arXiv:2510.24795</v>
      </c>
      <c r="K37" s="61" t="str">
        <v>yu2025efficient</v>
      </c>
      <c r="L37" s="61" t="str"/>
      <c r="M37" s="61" t="str">
        <v>Primary-source abstract or article and manuscript context; source reviewed 2026-09-24.</v>
      </c>
    </row>
    <row r="38" ht="62" customHeight="1">
      <c r="A38" s="60" t="n">
        <v>30</v>
      </c>
      <c r="B38" s="60" t="n">
        <v>2025</v>
      </c>
      <c r="C38" s="61" t="str">
        <v>Deng et al., “A survey on reinforcement learning of vision-languageaction models for robotic manipulation,” TechRxiv, 2025.</v>
      </c>
      <c r="D38" s="61" t="str">
        <v>This survey reviews reinforcement learning for adapting pretrained VLA models to robotic manipulation. It organizes architectures, online and offline learning, deployment considerations, and evaluation within a shared training-to-deployment framework.</v>
      </c>
      <c r="E38" s="63" t="str">
        <v>https://doi.org/10.36227/techrxiv.176531955.54563920/v1</v>
      </c>
      <c r="F38" s="61" t="str">
        <v>Survey</v>
      </c>
      <c r="G38" s="61" t="str">
        <v>Paper</v>
      </c>
      <c r="H38" s="62" t="str">
        <v>Pending</v>
      </c>
      <c r="I38" s="62" t="str"/>
      <c r="J38" s="61" t="str">
        <v>https://doi.org/10.36227/techrxiv.176531955.54563920/v1</v>
      </c>
      <c r="K38" s="61" t="str">
        <v>deng2025rl</v>
      </c>
      <c r="L38" s="61" t="str"/>
      <c r="M38" s="61" t="str">
        <v>Primary preprint abstract and author-maintained survey repository; DOI recovered from its citation record (2026-09-24).</v>
      </c>
    </row>
    <row r="39" ht="62" customHeight="1">
      <c r="A39" s="60" t="n">
        <v>31</v>
      </c>
      <c r="B39" s="60" t="n">
        <v>2025</v>
      </c>
      <c r="C39" s="61" t="str">
        <v>T. Feng, X. Wang, Y.-G. Jiang, and W. Zhu, “Embodied AI: From LLMs to world models,” IEEE Circuits Syst. Mag., vol. 25, no. 4, pp. 14–37, 2025, arXiv:2509.20021.</v>
      </c>
      <c r="D39" s="61" t="str">
        <v>This review contrasts the semantic reasoning provided by language models with the predictive capabilities of world models in embodied AI. It argues for combining these capabilities and surveys supporting technologies, hardware, and applications.</v>
      </c>
      <c r="E39" s="63" t="str">
        <v>https://arxiv.org/abs/2509.20021</v>
      </c>
      <c r="F39" s="61" t="str">
        <v>Survey</v>
      </c>
      <c r="G39" s="61" t="str">
        <v>Paper</v>
      </c>
      <c r="H39" s="62" t="str">
        <v>Pending</v>
      </c>
      <c r="I39" s="62" t="str"/>
      <c r="J39" s="61" t="str">
        <v>arXiv:2509.20021</v>
      </c>
      <c r="K39" s="61" t="str">
        <v>feng2025</v>
      </c>
      <c r="L39" s="61" t="str"/>
      <c r="M39" s="61" t="str">
        <v>Primary-source abstract or article and manuscript context; source reviewed 2026-09-24.</v>
      </c>
    </row>
    <row r="40" ht="62" customHeight="1">
      <c r="A40" s="60" t="n">
        <v>32</v>
      </c>
      <c r="B40" s="60" t="n">
        <v>2025</v>
      </c>
      <c r="C40" s="61" t="str">
        <v>K. Zhang, P. Yun, J. Cen, J. Cai, D. Zhu, H. Yuan, C. Zhao, T. Feng, M. Y. Wang, Q. Chen et al., “Generative artificial intelligence in robotic manipulation: A survey,” arXiv preprint, 2025, arXiv:2503.03464. [Online]. Available:</v>
      </c>
      <c r="D40" s="61" t="str">
        <v>This survey reviews generative models used for robotic data, rewards, intermediate plans, and control outputs. Its layered taxonomy relates data generation and task reasoning to grasp and trajectory generation.</v>
      </c>
      <c r="E40" s="63" t="str">
        <v>https://arxiv.org/abs/2503.03464</v>
      </c>
      <c r="F40" s="61" t="str">
        <v>Survey</v>
      </c>
      <c r="G40" s="61" t="str">
        <v>Paper</v>
      </c>
      <c r="H40" s="62" t="str">
        <v>Pending</v>
      </c>
      <c r="I40" s="62" t="str"/>
      <c r="J40" s="61" t="str">
        <v>arXiv:2503.03464</v>
      </c>
      <c r="K40" s="61" t="str">
        <v>zhang2025generative</v>
      </c>
      <c r="L40" s="61" t="str"/>
      <c r="M40" s="61" t="str">
        <v>Primary-source abstract or article and manuscript context; source reviewed 2026-09-24.</v>
      </c>
    </row>
    <row r="41" ht="70" customHeight="1">
      <c r="A41" s="60" t="n">
        <v>33</v>
      </c>
      <c r="B41" s="60" t="n">
        <v>2025</v>
      </c>
      <c r="C41" s="61" t="str">
        <v>J. Ding, Y. Zhang, Y. Shang, Y. Zhang, Z. Zong, J. Feng, Y. Yuan, H. Su, N. Li, N. Sukiennik et al., “Understanding world or predicting future? A comprehensive survey of world models,” ACM Computing Surveys, vol. 58, no. 3, pp. 1–38, 2025.</v>
      </c>
      <c r="D41" s="61" t="str">
        <v>This survey distinguishes world models that construct internal representations from those that simulate future states. It reviews these roles across robotics, autonomous driving, and other domains and identifies open modeling challenges.</v>
      </c>
      <c r="E41" s="63" t="str">
        <v>https://doi.org/10.1145/3746449</v>
      </c>
      <c r="F41" s="61" t="str">
        <v>Survey</v>
      </c>
      <c r="G41" s="61" t="str">
        <v>Paper</v>
      </c>
      <c r="H41" s="62" t="str">
        <v>Pending</v>
      </c>
      <c r="I41" s="62" t="str"/>
      <c r="J41" s="61" t="str">
        <v>https://doi.org/10.1145/3746449</v>
      </c>
      <c r="K41" s="61" t="str">
        <v>ding2025worldsurvey</v>
      </c>
      <c r="L41" s="61" t="str"/>
      <c r="M41" s="61" t="str">
        <v>Primary-source abstract or article and manuscript context; source reviewed 2026-09-24.</v>
      </c>
    </row>
    <row r="42" ht="85" customHeight="1">
      <c r="A42" s="60" t="n">
        <v>34</v>
      </c>
      <c r="B42" s="60" t="n">
        <v>2025</v>
      </c>
      <c r="C42" s="61" t="str">
        <v>X. Li et al., “A step toward world models: A survey on robotic manipulation,” arXiv preprint, 2025, arXiv:2511.02097.</v>
      </c>
      <c r="D42" s="61" t="str">
        <v>This survey examines manipulation methods that exhibit world-model capabilities, including approaches not explicitly labeled as world models. It uses their roles in perception, prediction, and control to identify the components needed for broader predictive robotics.</v>
      </c>
      <c r="E42" s="63" t="str">
        <v>https://arxiv.org/abs/2511.02097</v>
      </c>
      <c r="F42" s="61" t="str">
        <v>Survey</v>
      </c>
      <c r="G42" s="61" t="str">
        <v>Paper</v>
      </c>
      <c r="H42" s="62" t="str">
        <v>Pending</v>
      </c>
      <c r="I42" s="62" t="str"/>
      <c r="J42" s="61" t="str">
        <v>arXiv:2511.02097</v>
      </c>
      <c r="K42" s="61" t="str">
        <v>li2025step</v>
      </c>
      <c r="L42" s="61" t="str">
        <v>The as-cited reference lists X. Li et al.; the primary source instead identifies Peng-Fei Zhang and colleagues. Citation number, key and as-cited wording are retained for traceability; the author attribution requires correction in the manuscript bibliography.</v>
      </c>
      <c r="M42" s="61" t="str">
        <v>Primary-source abstract or article and manuscript context; source reviewed 2026-09-24.</v>
      </c>
    </row>
    <row r="43" ht="62" customHeight="1">
      <c r="A43" s="60" t="n">
        <v>35</v>
      </c>
      <c r="B43" s="60" t="n">
        <v>2025</v>
      </c>
      <c r="C43" s="61" t="str">
        <v>Jiang et al., “A survey on vision-language-action models for autonomous driving,” in Proc. IEEE/CVF Int. Conf. Comput. Vis. Workshops (ICCVW), WDFM-AD, 2025.</v>
      </c>
      <c r="D43" s="61" t="str">
        <v>This survey reviews vision-language-action architectures for autonomous driving, including their progression toward reasoning-centered control. It compares vehicle-domain datasets and evaluation concerns such as safety, instruction following, and explanation quality.</v>
      </c>
      <c r="E43" s="63" t="str">
        <v>https://openaccess.thecvf.com/content/ICCV2025W/WDFM-AD/html/Jiang_A_Survey_on_Vision-Language-Action_Models_for_Autonomous_Driving_ICCVW_2025_paper.html</v>
      </c>
      <c r="F43" s="61" t="str">
        <v>Survey</v>
      </c>
      <c r="G43" s="61" t="str">
        <v>Paper</v>
      </c>
      <c r="H43" s="62" t="str">
        <v>Pending</v>
      </c>
      <c r="I43" s="62" t="str"/>
      <c r="J43" s="61" t="str">
        <v>https://openaccess.thecvf.com/content/ICCV2025W/WDFM-AD/html/Jiang_A_Survey_on_Vision-Language-Action_Models_for_Autonomous_Driving_ICCVW_2025_paper.html</v>
      </c>
      <c r="K43" s="61" t="str">
        <v>jiang2025driving</v>
      </c>
      <c r="L43" s="61" t="str"/>
      <c r="M43" s="61" t="str">
        <v>Primary-source abstract or article and manuscript context; source reviewed 2026-09-24.</v>
      </c>
    </row>
    <row r="44" ht="62" customHeight="1">
      <c r="A44" s="60" t="n">
        <v>36</v>
      </c>
      <c r="B44" s="60" t="n">
        <v>2025</v>
      </c>
      <c r="C44" s="61" t="str">
        <v>D. Zhang, J. Sun, C. Hu, X. Wu, Z. Yuan, R. Zhou, F. Shen, and Q. Zhou, “Pure vision language action (VLA) models: A comprehensive survey,” arXiv preprint, 2025, arXiv:2509.19012.</v>
      </c>
      <c r="D44" s="61" t="str">
        <v>This survey classifies VLA methods into autoregressive, diffusion, reinforcement-learning, hybrid, and specialized approaches. It connects these design choices to application scenarios, datasets, benchmarks, and simulators.</v>
      </c>
      <c r="E44" s="63" t="str">
        <v>https://arxiv.org/abs/2509.19012</v>
      </c>
      <c r="F44" s="61" t="str">
        <v>Survey</v>
      </c>
      <c r="G44" s="61" t="str">
        <v>Paper</v>
      </c>
      <c r="H44" s="62" t="str">
        <v>Pending</v>
      </c>
      <c r="I44" s="62" t="str"/>
      <c r="J44" s="61" t="str">
        <v>arXiv:2509.19012</v>
      </c>
      <c r="K44" s="61" t="str">
        <v>zhang2025pure</v>
      </c>
      <c r="L44" s="61" t="str"/>
      <c r="M44" s="61" t="str">
        <v>Primary-source abstract or article and manuscript context; source reviewed 2026-09-24.</v>
      </c>
    </row>
    <row r="45" ht="70" customHeight="1">
      <c r="A45" s="60" t="n">
        <v>37</v>
      </c>
      <c r="B45" s="60" t="n">
        <v>2021</v>
      </c>
      <c r="C45" s="61" t="str">
        <v>M. J. Page, J. E. McKenzie, P. M. Bossuyt, I. Boutron, T. C. Hoffmann, C. D. Mulrow, L. Shamseer, J. M. Tetzlaff, E. A. Akl, S. E. Brennan et al., “The PRISMA 2020 statement: An updated guideline for reporting systematic reviews,” BMJ, vol. 372, p. n71, 2021.</v>
      </c>
      <c r="D45" s="61" t="str">
        <v>The PRISMA 2020 statement provides reporting guidance for systematic reviews through checklists and flow-diagram templates. It supports transparent reporting of searches, selection, synthesis, and limitations rather than certifying that a review was conducted correctly.</v>
      </c>
      <c r="E45" s="63" t="str">
        <v>https://doi.org/10.1136/bmj.n71</v>
      </c>
      <c r="F45" s="61" t="str">
        <v>Methodology</v>
      </c>
      <c r="G45" s="61" t="str">
        <v>Paper</v>
      </c>
      <c r="H45" s="62" t="str">
        <v>Pending</v>
      </c>
      <c r="I45" s="62" t="str"/>
      <c r="J45" s="61" t="str">
        <v>https://doi.org/10.1136/bmj.n71</v>
      </c>
      <c r="K45" s="61" t="str">
        <v>prisma2020</v>
      </c>
      <c r="L45" s="61" t="str"/>
      <c r="M45" s="61" t="str">
        <v>Original statement and official PRISMA statement/checklist descriptions; reviewed 2026-09-24.</v>
      </c>
    </row>
    <row r="46" ht="62" customHeight="1">
      <c r="A46" s="60" t="n">
        <v>38</v>
      </c>
      <c r="B46" s="60" t="n">
        <v>2023</v>
      </c>
      <c r="C46" s="61" t="str">
        <v>A. Brohan, N. Brown, J. Carbajal, Y. Chebotar, J. Dabis, C. Finn, K. Gopalakrishnan, K. Hausman, A. Herzog, J. Hsu et al., “RT-1: Robotics transformer for real-world control at scale,” arXiv preprint, 2023, arXiv:2212.06817.</v>
      </c>
      <c r="D46" s="61" t="str">
        <v>RT-1 maps camera observations and language instructions to discretized robot commands using a transformer policy. It is an early language-conditioned control precursor to later VLA foundation models.</v>
      </c>
      <c r="E46" s="63" t="str">
        <v>https://arxiv.org/abs/2212.06817</v>
      </c>
      <c r="F46" s="61" t="str">
        <v>VLA/action policy</v>
      </c>
      <c r="G46" s="61" t="str">
        <v>Paper</v>
      </c>
      <c r="H46" s="62" t="str">
        <v>Pending</v>
      </c>
      <c r="I46" s="62" t="str"/>
      <c r="J46" s="61" t="str">
        <v>arXiv:2212.06817</v>
      </c>
      <c r="K46" s="61" t="str">
        <v>rt1</v>
      </c>
      <c r="L46" s="61" t="str"/>
      <c r="M46" s="61" t="str">
        <v>Previously primary-source-checked README catalogue and manuscript discussion; no new quantitative claims.</v>
      </c>
    </row>
    <row r="47" ht="70" customHeight="1">
      <c r="A47" s="60" t="n">
        <v>39</v>
      </c>
      <c r="B47" s="60" t="n">
        <v>2023</v>
      </c>
      <c r="C47" s="61" t="str">
        <v>Y. Jiang, A. Gupta, Z. Zhang, G. Wang, Y. Dou, Y. Chen, L. Fei-Fei, A. Anandkumar, Y. Zhu, and L. Fan, “VIMA: General robot manipulation with multimodal prompts,” in International Conference on Machine Learning (ICML), 2023, arXiv:2210.03094.</v>
      </c>
      <c r="D47" s="61" t="str">
        <v>VIMA specifies manipulation tasks using prompts that interleave text and images. A transformer policy converts these multimodal task descriptions and observations into robot actions.</v>
      </c>
      <c r="E47" s="63" t="str">
        <v>https://arxiv.org/abs/2210.03094</v>
      </c>
      <c r="F47" s="61" t="str">
        <v>VLA/action policy</v>
      </c>
      <c r="G47" s="61" t="str">
        <v>Paper</v>
      </c>
      <c r="H47" s="62" t="str">
        <v>Pending</v>
      </c>
      <c r="I47" s="62" t="str"/>
      <c r="J47" s="61" t="str">
        <v>arXiv:2210.03094</v>
      </c>
      <c r="K47" s="61" t="str">
        <v>vima</v>
      </c>
      <c r="L47" s="61" t="str"/>
      <c r="M47" s="61" t="str">
        <v>Previously primary-source-checked README catalogue and manuscript discussion; no new quantitative claims.</v>
      </c>
    </row>
    <row r="48" ht="62" customHeight="1">
      <c r="A48" s="60" t="n">
        <v>40</v>
      </c>
      <c r="B48" s="60" t="n">
        <v>2024</v>
      </c>
      <c r="C48" s="61" t="str">
        <v>X. Li, M. Liu, H. Zhang, C. Yu, J. Xu, H. Wu, C. Cheang, Y. Jing, W. Zhang, H. Liu et al., “Vision-language foundation models as effective robot imitators,” in Proc. Int. Conf. Learn. Representations (ICLR), 2024, arXiv:2311.01378.</v>
      </c>
      <c r="D48" s="61" t="str">
        <v>RoboFlamingo adapts a pretrained OpenFlamingo vision-language model for robot imitation learning. An action-prediction interface connects multimodal understanding to language-conditioned manipulation.</v>
      </c>
      <c r="E48" s="63" t="str">
        <v>https://arxiv.org/abs/2311.01378</v>
      </c>
      <c r="F48" s="61" t="str">
        <v>VLA/action policy</v>
      </c>
      <c r="G48" s="61" t="str">
        <v>Paper</v>
      </c>
      <c r="H48" s="62" t="str">
        <v>Pending</v>
      </c>
      <c r="I48" s="62" t="str"/>
      <c r="J48" s="61" t="str">
        <v>arXiv:2311.01378</v>
      </c>
      <c r="K48" s="61" t="str">
        <v>roboflamingo</v>
      </c>
      <c r="L48" s="61" t="str"/>
      <c r="M48" s="61" t="str">
        <v>Previously primary-source-checked README catalogue and manuscript discussion; no new quantitative claims.</v>
      </c>
    </row>
    <row r="49" ht="62" customHeight="1">
      <c r="A49" s="60" t="n">
        <v>41</v>
      </c>
      <c r="B49" s="60" t="n">
        <v>2024</v>
      </c>
      <c r="C49" s="61" t="str">
        <v>D. Niu, Y. Sharma, G. Biamby, J. Quenum, Y. Bai, B. Shi, T. Darrell, and R. Herzig, “LLARV A: Vision-action instruction tuning enhances robot learning,” in Proc. Conf. Robot Learn. (CoRL), 2024, arXiv:2406.11815.</v>
      </c>
      <c r="D49" s="61" t="str">
        <v>LLARVA uses vision-action instruction tuning with intermediate two-dimensional visual traces. These traces help align multimodal representations with the robot behaviors learned during adaptation.</v>
      </c>
      <c r="E49" s="63" t="str">
        <v>https://arxiv.org/abs/2406.11815</v>
      </c>
      <c r="F49" s="61" t="str">
        <v>VLA/action policy</v>
      </c>
      <c r="G49" s="61" t="str">
        <v>Paper</v>
      </c>
      <c r="H49" s="62" t="str">
        <v>Pending</v>
      </c>
      <c r="I49" s="62" t="str"/>
      <c r="J49" s="61" t="str">
        <v>arXiv:2406.11815</v>
      </c>
      <c r="K49" s="61" t="str">
        <v>llarva</v>
      </c>
      <c r="L49" s="61" t="str"/>
      <c r="M49" s="61" t="str">
        <v>Previously primary-source-checked README catalogue and manuscript discussion; no new quantitative claims.</v>
      </c>
    </row>
    <row r="50" ht="62" customHeight="1">
      <c r="A50" s="60" t="n">
        <v>42</v>
      </c>
      <c r="B50" s="60" t="n">
        <v>2025</v>
      </c>
      <c r="C50" s="61" t="str">
        <v>S. Ye, J. Jang, B. Jeon, S. Joo, J. Yang, B. Peng, A. Mandlekar, R. Tan et al., “Latent action pretraining from videos,” in International Conference on Learning Representations (ICLR), 2025, arXiv:2410.11758.</v>
      </c>
      <c r="D50" s="61" t="str">
        <v>LAPA learns latent action representations from video without ground-truth action labels during pretraining. Robot data subsequently maps the pretrained policy into executable robot actions.</v>
      </c>
      <c r="E50" s="63" t="str">
        <v>https://arxiv.org/abs/2410.11758</v>
      </c>
      <c r="F50" s="61" t="str">
        <v>VLA/action policy</v>
      </c>
      <c r="G50" s="61" t="str">
        <v>Paper</v>
      </c>
      <c r="H50" s="62" t="str">
        <v>Pending</v>
      </c>
      <c r="I50" s="62" t="str"/>
      <c r="J50" s="61" t="str">
        <v>arXiv:2410.11758</v>
      </c>
      <c r="K50" s="61" t="str">
        <v>lapa</v>
      </c>
      <c r="L50" s="61" t="str"/>
      <c r="M50" s="61" t="str">
        <v>Previously primary-source-checked README catalogue and manuscript discussion; no new quantitative claims.</v>
      </c>
    </row>
    <row r="51" ht="70" customHeight="1">
      <c r="A51" s="60" t="n">
        <v>43</v>
      </c>
      <c r="B51" s="60" t="n">
        <v>2025</v>
      </c>
      <c r="C51" s="61" t="str">
        <v>K. Pertsch, K. Stachowicz, B. Ichter, D. Driess, S. Nair, Q. Vuong, O. Mees, C. Finn, and S. Levine, “FAST: Efficient action tokenization for vision-language-action models,” in Proc. Robot.: Sci. Syst. (RSS), 2025, arXiv:2501.09747.</v>
      </c>
      <c r="D51" s="61" t="str">
        <v>FAST compresses continuous action chunks into frequency-domain tokens for autoregressive prediction. The π0-FAST policy demonstrates how this representation can support action generation for dexterous control.</v>
      </c>
      <c r="E51" s="63" t="str">
        <v>https://arxiv.org/abs/2501.09747</v>
      </c>
      <c r="F51" s="61" t="str">
        <v>VLA/action policy</v>
      </c>
      <c r="G51" s="61" t="str">
        <v>Paper</v>
      </c>
      <c r="H51" s="62" t="str">
        <v>Pending</v>
      </c>
      <c r="I51" s="62" t="str"/>
      <c r="J51" s="61" t="str">
        <v>arXiv:2501.09747</v>
      </c>
      <c r="K51" s="61" t="str">
        <v>fast</v>
      </c>
      <c r="L51" s="61" t="str"/>
      <c r="M51" s="61" t="str">
        <v>Previously primary-source-checked README catalogue and manuscript discussion; no new quantitative claims.</v>
      </c>
    </row>
    <row r="52" ht="62" customHeight="1">
      <c r="A52" s="60" t="n">
        <v>44</v>
      </c>
      <c r="B52" s="60" t="n">
        <v>2025</v>
      </c>
      <c r="C52" s="61" t="str">
        <v>Liang et al., “Discrete diffusion VLA: Bringing discrete diffusion to action decoding in vision-language-action policies,” arXiv preprint, 2025, arXiv:2508.20072.</v>
      </c>
      <c r="D52" s="61" t="str">
        <v>Discrete Diffusion VLA generates discretized action chunks through iterative diffusion-style refinement within a shared transformer. It explores parallel action decoding as an alternative to sequential autoregressive generation.</v>
      </c>
      <c r="E52" s="63" t="str">
        <v>https://arxiv.org/abs/2508.20072</v>
      </c>
      <c r="F52" s="61" t="str">
        <v>VLA/action policy</v>
      </c>
      <c r="G52" s="61" t="str">
        <v>Paper</v>
      </c>
      <c r="H52" s="62" t="str">
        <v>Pending</v>
      </c>
      <c r="I52" s="62" t="str"/>
      <c r="J52" s="61" t="str">
        <v>arXiv:2508.20072</v>
      </c>
      <c r="K52" s="61" t="str">
        <v>ddvla</v>
      </c>
      <c r="L52" s="61" t="str"/>
      <c r="M52" s="61" t="str">
        <v>Previously primary-source-checked README catalogue and manuscript discussion; no new quantitative claims.</v>
      </c>
    </row>
    <row r="53" ht="62" customHeight="1">
      <c r="A53" s="60" t="n">
        <v>45</v>
      </c>
      <c r="B53" s="60" t="n">
        <v>2024</v>
      </c>
      <c r="C53" s="61" t="str">
        <v>Octo Model Team, D. Ghosh, H. Walke, K. Pertsch, K. Black, O. Mees, S. Dasari, J. Hejna, T. Kreiman, C. Xu et al., “Octo: An open-source generalist robot policy,” in Proc. Robot.: Sci. Syst. (RSS), 2024, arXiv:2405.12213.</v>
      </c>
      <c r="D53" s="61" t="str">
        <v>Octo is an open generalist robot policy with a diffusion action head and language- or image-goal conditioning. Its adaptation interface accommodates new observation inputs and robot action spaces.</v>
      </c>
      <c r="E53" s="63" t="str">
        <v>https://arxiv.org/abs/2405.12213</v>
      </c>
      <c r="F53" s="61" t="str">
        <v>VLA/action policy</v>
      </c>
      <c r="G53" s="61" t="str">
        <v>Paper</v>
      </c>
      <c r="H53" s="62" t="str">
        <v>Pending</v>
      </c>
      <c r="I53" s="62" t="str"/>
      <c r="J53" s="61" t="str">
        <v>arXiv:2405.12213</v>
      </c>
      <c r="K53" s="61" t="str">
        <v>octo</v>
      </c>
      <c r="L53" s="61" t="str"/>
      <c r="M53" s="61" t="str">
        <v>Previously primary-source-checked README catalogue and manuscript discussion; no new quantitative claims.</v>
      </c>
    </row>
    <row r="54" ht="62" customHeight="1">
      <c r="A54" s="60" t="n">
        <v>46</v>
      </c>
      <c r="B54" s="60" t="n">
        <v>2025</v>
      </c>
      <c r="C54" s="61" t="str">
        <v>S. Liu, L. Wu, B. Li, H. Tan, H. Chen, Z. Wang, K. Xu, H. Su, and J. Zhu, “RDT-1B: A diffusion foundation model for bimanual manipulation,” arXiv preprint, 2025, arXiv:2410.07864.</v>
      </c>
      <c r="D54" s="61" t="str">
        <v>RDT-1B uses a diffusion transformer to generate bimanual robot actions conditioned on multimodal inputs. A unified action representation supports learning from robots with different configurations.</v>
      </c>
      <c r="E54" s="63" t="str">
        <v>https://arxiv.org/abs/2410.07864</v>
      </c>
      <c r="F54" s="61" t="str">
        <v>VLA/action policy</v>
      </c>
      <c r="G54" s="61" t="str">
        <v>Paper</v>
      </c>
      <c r="H54" s="62" t="str">
        <v>Pending</v>
      </c>
      <c r="I54" s="62" t="str"/>
      <c r="J54" s="61" t="str">
        <v>arXiv:2410.07864</v>
      </c>
      <c r="K54" s="61" t="str">
        <v>rdt1b</v>
      </c>
      <c r="L54" s="61" t="str"/>
      <c r="M54" s="61" t="str">
        <v>Previously primary-source-checked README catalogue and manuscript discussion; no new quantitative claims.</v>
      </c>
    </row>
    <row r="55" ht="62" customHeight="1">
      <c r="A55" s="60" t="n">
        <v>47</v>
      </c>
      <c r="B55" s="60" t="n">
        <v>2024</v>
      </c>
      <c r="C55" s="61" t="str">
        <v>Q. Li et al., “CogACT: A foundational vision-language-action model for synergizing cognition and action in robotic manipulation,” arXiv preprint, 2024, arXiv:2411.19650.</v>
      </c>
      <c r="D55" s="61" t="str">
        <v>CogACT couples a vision-language backbone to a specialized diffusion action transformer. This separation connects semantic interpretation with continuous manipulation commands.</v>
      </c>
      <c r="E55" s="63" t="str">
        <v>https://arxiv.org/abs/2411.19650</v>
      </c>
      <c r="F55" s="61" t="str">
        <v>VLA/action policy</v>
      </c>
      <c r="G55" s="61" t="str">
        <v>Paper</v>
      </c>
      <c r="H55" s="62" t="str">
        <v>Pending</v>
      </c>
      <c r="I55" s="62" t="str"/>
      <c r="J55" s="61" t="str">
        <v>arXiv:2411.19650</v>
      </c>
      <c r="K55" s="61" t="str">
        <v>cogact</v>
      </c>
      <c r="L55" s="61" t="str"/>
      <c r="M55" s="61" t="str">
        <v>Previously primary-source-checked README catalogue and manuscript discussion; no new quantitative claims.</v>
      </c>
    </row>
    <row r="56" ht="62" customHeight="1">
      <c r="A56" s="60" t="n">
        <v>48</v>
      </c>
      <c r="B56" s="60" t="n">
        <v>2025</v>
      </c>
      <c r="C56" s="61" t="str">
        <v>J. Wen, Y. Zhu, J. Li, Z. Tang, C. Shen, and F. Feng, “DexVLA: Visionlanguage model with plug-in diffusion expert for general robot control,” arXiv preprint, 2025, arXiv:2502.05855.</v>
      </c>
      <c r="D56" s="61" t="str">
        <v>DexVLA connects a vision-language backbone to a pretrained diffusion action expert. Its staged training adapts the action-generation component across tasks and robot embodiments.</v>
      </c>
      <c r="E56" s="63" t="str">
        <v>https://arxiv.org/abs/2502.05855</v>
      </c>
      <c r="F56" s="61" t="str">
        <v>VLA/action policy</v>
      </c>
      <c r="G56" s="61" t="str">
        <v>Paper</v>
      </c>
      <c r="H56" s="62" t="str">
        <v>Pending</v>
      </c>
      <c r="I56" s="62" t="str"/>
      <c r="J56" s="61" t="str">
        <v>arXiv:2502.05855</v>
      </c>
      <c r="K56" s="61" t="str">
        <v>dexvla</v>
      </c>
      <c r="L56" s="61" t="str"/>
      <c r="M56" s="61" t="str">
        <v>Previously primary-source-checked README catalogue and manuscript discussion; no new quantitative claims.</v>
      </c>
    </row>
    <row r="57" ht="62" customHeight="1">
      <c r="A57" s="60" t="n">
        <v>49</v>
      </c>
      <c r="B57" s="60" t="n">
        <v>2023</v>
      </c>
      <c r="C57" s="61" t="str">
        <v>T. Z. Zhao, V. Kumar, S. Levine, and C. Finn, “Learning fine-grained bimanual manipulation with low-cost hardware,” in Robotics: Science and Systems (RSS), 2023, arXiv:2304.13705.</v>
      </c>
      <c r="D57" s="61" t="str">
        <v>This paper introduces the ALOHA teleoperation platform and Action Chunking with Transformers for bimanual imitation learning. Predicting sequences of actions provides a control precedent for later chunk-based VLA policies.</v>
      </c>
      <c r="E57" s="63" t="str">
        <v>https://arxiv.org/abs/2304.13705</v>
      </c>
      <c r="F57" s="61" t="str">
        <v>Planning/control context</v>
      </c>
      <c r="G57" s="61" t="str">
        <v>Paper</v>
      </c>
      <c r="H57" s="62" t="str">
        <v>Pending</v>
      </c>
      <c r="I57" s="62" t="str"/>
      <c r="J57" s="61" t="str">
        <v>arXiv:2304.13705</v>
      </c>
      <c r="K57" s="61" t="str">
        <v>act</v>
      </c>
      <c r="L57" s="61" t="str"/>
      <c r="M57" s="61" t="str">
        <v>Previously primary-source-checked README catalogue and manuscript discussion; no new quantitative claims.</v>
      </c>
    </row>
    <row r="58" ht="62" customHeight="1">
      <c r="A58" s="60" t="n">
        <v>50</v>
      </c>
      <c r="B58" s="60" t="n">
        <v>2024</v>
      </c>
      <c r="C58" s="61" t="str">
        <v>Z. Fu, T. Z. Zhao, and C. Finn, “Mobile ALOHA: Learning bimanual mobile manipulation with low-cost whole-body teleoperation,” in Conference on Robot Learning (CoRL), 2024, arXiv:2401.02117.</v>
      </c>
      <c r="D58" s="61" t="str">
        <v>Mobile ALOHA combines whole-body teleoperation with imitation learning for mobile bimanual manipulation. It extends demonstration-based control to coordinated base and arm motions.</v>
      </c>
      <c r="E58" s="63" t="str">
        <v>https://arxiv.org/abs/2401.02117</v>
      </c>
      <c r="F58" s="61" t="str">
        <v>Planning/control context</v>
      </c>
      <c r="G58" s="61" t="str">
        <v>Paper</v>
      </c>
      <c r="H58" s="62" t="str">
        <v>Pending</v>
      </c>
      <c r="I58" s="62" t="str"/>
      <c r="J58" s="61" t="str">
        <v>arXiv:2401.02117</v>
      </c>
      <c r="K58" s="61" t="str">
        <v>mobilealoha</v>
      </c>
      <c r="L58" s="61" t="str"/>
      <c r="M58" s="61" t="str">
        <v>Previously primary-source-checked README catalogue and manuscript discussion; no new quantitative claims.</v>
      </c>
    </row>
    <row r="59" ht="62" customHeight="1">
      <c r="A59" s="60" t="n">
        <v>51</v>
      </c>
      <c r="B59" s="60" t="n">
        <v>2023</v>
      </c>
      <c r="C59" s="61" t="str">
        <v>C. Chi, Z. Xu, S. Feng, E. Cousineau, Y. Du, B. Burchfiel, R. Tedrake, and S. Song, “Diffusion policy: Visuomotor policy learning via action diffusion,” in Proc. Robot.: Sci. Syst. (RSS), 2023, arXiv:2303.04137.</v>
      </c>
      <c r="D59" s="61" t="str">
        <v>Diffusion Policy models visuomotor action sequences through conditional denoising diffusion. Receding-horizon execution makes it a control foundation for later diffusion-based robot policies.</v>
      </c>
      <c r="E59" s="63" t="str">
        <v>https://arxiv.org/abs/2303.04137</v>
      </c>
      <c r="F59" s="61" t="str">
        <v>Planning/control context</v>
      </c>
      <c r="G59" s="61" t="str">
        <v>Paper</v>
      </c>
      <c r="H59" s="62" t="str">
        <v>Pending</v>
      </c>
      <c r="I59" s="62" t="str"/>
      <c r="J59" s="61" t="str">
        <v>arXiv:2303.04137</v>
      </c>
      <c r="K59" s="61" t="str">
        <v>diffusionpolicy</v>
      </c>
      <c r="L59" s="61" t="str"/>
      <c r="M59" s="61" t="str">
        <v>Previously primary-source-checked README catalogue and manuscript discussion; no new quantitative claims.</v>
      </c>
    </row>
    <row r="60" ht="70" customHeight="1">
      <c r="A60" s="60" t="n">
        <v>52</v>
      </c>
      <c r="B60" s="60" t="n">
        <v>2025</v>
      </c>
      <c r="C60" s="61" t="str">
        <v>Physical Intelligence, K. Black, N. Brown, J. Darpinian, K. Dhabalia, D. Driess, A. Esmail, M. Equi, C. Finn, N. Fusai et al., “π0.5: A vision-language-action model with open-world generalization,” arXiv preprint, 2025, arXiv:2504.16054. [Online]. Available:</v>
      </c>
      <c r="D60" s="61" t="str">
        <v>The π0.5 model extends π0 through heterogeneous co-training and hierarchical task conditioning. It studies language-conditioned manipulation in settings beyond familiar training environments.</v>
      </c>
      <c r="E60" s="63" t="str">
        <v>https://arxiv.org/abs/2504.16054</v>
      </c>
      <c r="F60" s="61" t="str">
        <v>VLA/action policy</v>
      </c>
      <c r="G60" s="61" t="str">
        <v>Paper</v>
      </c>
      <c r="H60" s="62" t="str">
        <v>Pending</v>
      </c>
      <c r="I60" s="62" t="str"/>
      <c r="J60" s="61" t="str">
        <v>arXiv:2504.16054</v>
      </c>
      <c r="K60" s="61" t="str">
        <v>pi05</v>
      </c>
      <c r="L60" s="61" t="str"/>
      <c r="M60" s="61" t="str">
        <v>Previously primary-source-checked README catalogue and manuscript discussion; no new quantitative claims.</v>
      </c>
    </row>
    <row r="61" ht="70" customHeight="1">
      <c r="A61" s="60" t="n">
        <v>53</v>
      </c>
      <c r="B61" s="60" t="n">
        <v>2022</v>
      </c>
      <c r="C61" s="61" t="str">
        <v>M. Ahn, A. Brohan, N. Brown, Y. Chebotar, O. Cortes, B. David, C. Finn, C. Fu, K. Gopalakrishnan, K. Hausman et al., “Do as I can, not as I say: Grounding language in robotic affordances,” in Proc. Conf. Robot Learn. (CoRL), 2022, arXiv:2204.01691.</v>
      </c>
      <c r="D61" s="61" t="str">
        <v>SayCan combines language-model task suggestions with learned skill-value estimates. It uses these estimates to select behaviors that are both instruction-relevant and physically feasible.</v>
      </c>
      <c r="E61" s="63" t="str">
        <v>https://arxiv.org/abs/2204.01691</v>
      </c>
      <c r="F61" s="61" t="str">
        <v>Planning/control context</v>
      </c>
      <c r="G61" s="61" t="str">
        <v>Paper</v>
      </c>
      <c r="H61" s="62" t="str">
        <v>Pending</v>
      </c>
      <c r="I61" s="62" t="str"/>
      <c r="J61" s="61" t="str">
        <v>arXiv:2204.01691</v>
      </c>
      <c r="K61" s="61" t="str">
        <v>saycan</v>
      </c>
      <c r="L61" s="61" t="str"/>
      <c r="M61" s="61" t="str">
        <v>Previously primary-source-checked README catalogue and manuscript discussion; no new quantitative claims.</v>
      </c>
    </row>
    <row r="62" ht="62" customHeight="1">
      <c r="A62" s="60" t="n">
        <v>54</v>
      </c>
      <c r="B62" s="60" t="n">
        <v>2023</v>
      </c>
      <c r="C62" s="61" t="str">
        <v>D. Driess, F. Xia, M. S. M. Sajjadi, C. Lynch, A. Chowdhery, B. Ichter, A. Wahid, J. Tompson, Q. Vuong, T. Yu et al., “PaLM-E: An embodied multimodal language model,” in Proc. Int. Conf. Mach. Learn. (ICML), 2023, arXiv:2303.03378.</v>
      </c>
      <c r="D62" s="61" t="str">
        <v>PaLM-E incorporates visual observations and continuous sensor information into an embodied language model. It supports multimodal reasoning and high-level robot planning.</v>
      </c>
      <c r="E62" s="63" t="str">
        <v>https://arxiv.org/abs/2303.03378</v>
      </c>
      <c r="F62" s="61" t="str">
        <v>Planning/control context</v>
      </c>
      <c r="G62" s="61" t="str">
        <v>Paper</v>
      </c>
      <c r="H62" s="62" t="str">
        <v>Pending</v>
      </c>
      <c r="I62" s="62" t="str"/>
      <c r="J62" s="61" t="str">
        <v>arXiv:2303.03378</v>
      </c>
      <c r="K62" s="61" t="str">
        <v>palme</v>
      </c>
      <c r="L62" s="61" t="str"/>
      <c r="M62" s="61" t="str">
        <v>Previously primary-source-checked README catalogue and manuscript discussion; no new quantitative claims.</v>
      </c>
    </row>
    <row r="63" ht="62" customHeight="1">
      <c r="A63" s="60" t="n">
        <v>55</v>
      </c>
      <c r="B63" s="60" t="n">
        <v>2024</v>
      </c>
      <c r="C63" s="61" t="str">
        <v>S. Belkhale, T. Ding, T. Xiao, P. Sermanet, Q. Vuong, J. Tompson, Y. Chebotar, D. Dwibedi, and D. Sadigh, “RT-H: Action hierarchies using language,” in Proc. Robot.: Sci. Syst. (RSS), 2024, arXiv:2403.01823.</v>
      </c>
      <c r="D63" s="61" t="str">
        <v>RT-H inserts a language-based action hierarchy between task instructions and low-level robot commands. Intermediate motion descriptions organize execution and provide a structured interface for control.</v>
      </c>
      <c r="E63" s="63" t="str">
        <v>https://arxiv.org/abs/2403.01823</v>
      </c>
      <c r="F63" s="61" t="str">
        <v>VLA/action policy</v>
      </c>
      <c r="G63" s="61" t="str">
        <v>Paper</v>
      </c>
      <c r="H63" s="62" t="str">
        <v>Pending</v>
      </c>
      <c r="I63" s="62" t="str"/>
      <c r="J63" s="61" t="str">
        <v>arXiv:2403.01823</v>
      </c>
      <c r="K63" s="61" t="str">
        <v>rth</v>
      </c>
      <c r="L63" s="61" t="str"/>
      <c r="M63" s="61" t="str">
        <v>Previously primary-source-checked README catalogue and manuscript discussion; no new quantitative claims.</v>
      </c>
    </row>
    <row r="64" ht="70" customHeight="1">
      <c r="A64" s="60" t="n">
        <v>56</v>
      </c>
      <c r="B64" s="60" t="n">
        <v>2023</v>
      </c>
      <c r="C64" s="61" t="str">
        <v>J. Liang, W. Huang, F. Xia, P. Xu, K. Hausman, B. Ichter, P. Florence, and A. Zeng, “Code as policies: Language model programs for embodied control,” in IEEE International Conference on Robotics and Automation (ICRA), 2023, arXiv:2209.07753.</v>
      </c>
      <c r="D64" s="61" t="str">
        <v>Code as Policies generates robot-control programs from natural-language instructions. The generated programs connect perception outputs, control APIs, and feedback to executable behaviors.</v>
      </c>
      <c r="E64" s="63" t="str">
        <v>https://arxiv.org/abs/2209.07753</v>
      </c>
      <c r="F64" s="61" t="str">
        <v>Planning/control context</v>
      </c>
      <c r="G64" s="61" t="str">
        <v>Paper</v>
      </c>
      <c r="H64" s="62" t="str">
        <v>Pending</v>
      </c>
      <c r="I64" s="62" t="str"/>
      <c r="J64" s="61" t="str">
        <v>arXiv:2209.07753</v>
      </c>
      <c r="K64" s="61" t="str">
        <v>codeaspolicies</v>
      </c>
      <c r="L64" s="61" t="str"/>
      <c r="M64" s="61" t="str">
        <v>Previously primary-source-checked README catalogue and manuscript discussion; no new quantitative claims.</v>
      </c>
    </row>
    <row r="65" ht="62" customHeight="1">
      <c r="A65" s="60" t="n">
        <v>57</v>
      </c>
      <c r="B65" s="60" t="n">
        <v>2023</v>
      </c>
      <c r="C65" s="61" t="str">
        <v>W. Huang, C. Wang, R. Zhang, Y. Li, J. Wu, and L. Fei-Fei, “VoxPoser: Composable 3D value maps for robotic manipulation with language models,” in Conference on Robot Learning (CoRL), 2023, arXiv:2307.05973. [Online]. Available:</v>
      </c>
      <c r="D65" s="61" t="str">
        <v>VoxPoser converts language and visual information into composable three-dimensional value maps. These maps guide motion planning for manipulation instead of directly predicting motor commands from a single policy head.</v>
      </c>
      <c r="E65" s="63" t="str">
        <v>https://arxiv.org/abs/2307.05973</v>
      </c>
      <c r="F65" s="61" t="str">
        <v>Planning/control context</v>
      </c>
      <c r="G65" s="61" t="str">
        <v>Paper</v>
      </c>
      <c r="H65" s="62" t="str">
        <v>Pending</v>
      </c>
      <c r="I65" s="62" t="str"/>
      <c r="J65" s="61" t="str">
        <v>arXiv:2307.05973</v>
      </c>
      <c r="K65" s="61" t="str">
        <v>voxposer</v>
      </c>
      <c r="L65" s="61" t="str"/>
      <c r="M65" s="61" t="str">
        <v>Previously primary-source-checked README catalogue and manuscript discussion; no new quantitative claims.</v>
      </c>
    </row>
    <row r="66" ht="62" customHeight="1">
      <c r="A66" s="60" t="n">
        <v>58</v>
      </c>
      <c r="B66" s="60" t="n">
        <v>2025</v>
      </c>
      <c r="C66" s="61" t="str">
        <v>L. X. Shi et al., “Hi robot: Open-ended instruction following with hierarchical vision-language-action models,” arXiv preprint, 2025, arXiv:2502.19417.</v>
      </c>
      <c r="D66" s="61" t="str">
        <v>Hi Robot uses hierarchical vision-language-action policies to interpret complex instructions and user feedback. A lower-level controller executes the manipulation steps selected by the higher-level reasoning component.</v>
      </c>
      <c r="E66" s="63" t="str">
        <v>https://arxiv.org/abs/2502.19417</v>
      </c>
      <c r="F66" s="61" t="str">
        <v>VLA/action policy</v>
      </c>
      <c r="G66" s="61" t="str">
        <v>Paper</v>
      </c>
      <c r="H66" s="62" t="str">
        <v>Pending</v>
      </c>
      <c r="I66" s="62" t="str"/>
      <c r="J66" s="61" t="str">
        <v>arXiv:2502.19417</v>
      </c>
      <c r="K66" s="61" t="str">
        <v>hirobot</v>
      </c>
      <c r="L66" s="61" t="str"/>
      <c r="M66" s="61" t="str">
        <v>Previously primary-source-checked README catalogue and manuscript discussion; no new quantitative claims.</v>
      </c>
    </row>
    <row r="67" ht="62" customHeight="1">
      <c r="A67" s="60" t="n">
        <v>59</v>
      </c>
      <c r="B67" s="60" t="n">
        <v>2024</v>
      </c>
      <c r="C67" s="61" t="str">
        <v>M. Zawalski, W. Chen, K. Pertsch, O. Mees, C. Finn, and S. Levine, “Robotic control via embodied chain-of-thought reasoning,” in Proc. Conf. Robot Learn. (CoRL), 2024, arXiv:2407.08693.</v>
      </c>
      <c r="D67" s="61" t="str">
        <v>Embodied Chain-of-Thought trains a VLA to generate intermediate plans and visually grounded reasoning before robot actions. The method studies whether explicit reasoning supervision improves control and instruction execution.</v>
      </c>
      <c r="E67" s="63" t="str">
        <v>https://arxiv.org/abs/2407.08693</v>
      </c>
      <c r="F67" s="61" t="str">
        <v>VLA/action policy</v>
      </c>
      <c r="G67" s="61" t="str">
        <v>Paper</v>
      </c>
      <c r="H67" s="62" t="str">
        <v>Pending</v>
      </c>
      <c r="I67" s="62" t="str"/>
      <c r="J67" s="61" t="str">
        <v>arXiv:2407.08693</v>
      </c>
      <c r="K67" s="61" t="str">
        <v>ecot</v>
      </c>
      <c r="L67" s="61" t="str"/>
      <c r="M67" s="61" t="str">
        <v>Previously primary-source-checked README catalogue and manuscript discussion; no new quantitative claims.</v>
      </c>
    </row>
    <row r="68" ht="62" customHeight="1">
      <c r="A68" s="60" t="n">
        <v>60</v>
      </c>
      <c r="B68" s="60" t="n">
        <v>2025</v>
      </c>
      <c r="C68" s="61" t="str">
        <v>Lin et al., “OneTwoVLA: A unified vision-language-action model with adaptive reasoning,” arXiv preprint, 2025, arXiv:2505.11917. [Online]. Available:</v>
      </c>
      <c r="D68" s="61" t="str">
        <v>OneTwoVLA unifies explicit reasoning and robot-action generation within one model. It switches between reasoning and execution as task progress requires.</v>
      </c>
      <c r="E68" s="63" t="str">
        <v>https://arxiv.org/abs/2505.11917</v>
      </c>
      <c r="F68" s="61" t="str">
        <v>VLA/action policy</v>
      </c>
      <c r="G68" s="61" t="str">
        <v>Paper</v>
      </c>
      <c r="H68" s="62" t="str">
        <v>Pending</v>
      </c>
      <c r="I68" s="62" t="str"/>
      <c r="J68" s="61" t="str">
        <v>arXiv:2505.11917</v>
      </c>
      <c r="K68" s="61" t="str">
        <v>onetwovla</v>
      </c>
      <c r="L68" s="61" t="str"/>
      <c r="M68" s="61" t="str">
        <v>Previously primary-source-checked README catalogue and manuscript discussion; no new quantitative claims.</v>
      </c>
    </row>
    <row r="69" ht="62" customHeight="1">
      <c r="A69" s="60" t="n">
        <v>61</v>
      </c>
      <c r="B69" s="60" t="n">
        <v>2025</v>
      </c>
      <c r="C69" s="61" t="str">
        <v>Song et al., “RationalVLA: A rational vision-language-action model with dual system,” arXiv preprint, 2025, arXiv:2506.10826. [Online]. Available:</v>
      </c>
      <c r="D69" s="61" t="str">
        <v>RationalVLA couples higher-level instruction reasoning with manipulation control in a dual-system design. It includes assessment and rejection of commands judged infeasible or defective.</v>
      </c>
      <c r="E69" s="63" t="str">
        <v>https://arxiv.org/abs/2506.10826</v>
      </c>
      <c r="F69" s="61" t="str">
        <v>VLA/action policy</v>
      </c>
      <c r="G69" s="61" t="str">
        <v>Paper</v>
      </c>
      <c r="H69" s="62" t="str">
        <v>Pending</v>
      </c>
      <c r="I69" s="62" t="str"/>
      <c r="J69" s="61" t="str">
        <v>arXiv:2506.10826</v>
      </c>
      <c r="K69" s="61" t="str">
        <v>rationalvla</v>
      </c>
      <c r="L69" s="61" t="str"/>
      <c r="M69" s="61" t="str">
        <v>Previously primary-source-checked README catalogue and manuscript discussion; no new quantitative claims.</v>
      </c>
    </row>
    <row r="70" ht="70" customHeight="1">
      <c r="A70" s="60" t="n">
        <v>62</v>
      </c>
      <c r="B70" s="60" t="n">
        <v>2024</v>
      </c>
      <c r="C70" s="61" t="str">
        <v>W. Huang, C. Wang, Y. Li, R. Zhang, and L. Fei-Fei, “ReKep: Spatio-temporal reasoning of relational keypoint constraints for robotic manipulation,” in Conference on Robot Learning (CoRL), 2024, arXiv:2409.01652. [Online]. Available:</v>
      </c>
      <c r="D70" s="61" t="str">
        <v>ReKep uses visual-language reasoning to formulate relational constraints between task-relevant keypoints. It then optimizes robot motions to satisfy those constraints over time.</v>
      </c>
      <c r="E70" s="63" t="str">
        <v>https://arxiv.org/abs/2409.01652</v>
      </c>
      <c r="F70" s="61" t="str">
        <v>Planning/control context</v>
      </c>
      <c r="G70" s="61" t="str">
        <v>Paper</v>
      </c>
      <c r="H70" s="62" t="str">
        <v>Pending</v>
      </c>
      <c r="I70" s="62" t="str"/>
      <c r="J70" s="61" t="str">
        <v>arXiv:2409.01652</v>
      </c>
      <c r="K70" s="61" t="str">
        <v>rekep</v>
      </c>
      <c r="L70" s="61" t="str"/>
      <c r="M70" s="61" t="str">
        <v>Previously primary-source-checked README catalogue and manuscript discussion; no new quantitative claims.</v>
      </c>
    </row>
    <row r="71" ht="62" customHeight="1">
      <c r="A71" s="60" t="n">
        <v>63</v>
      </c>
      <c r="B71" s="60" t="n">
        <v>2024</v>
      </c>
      <c r="C71" s="61" t="str">
        <v>F. Liu, K. Fang, P. Abbeel, and S. Levine, “MOKA: Open-world robotic manipulation through mark-based visual prompting,” in Robotics: Science and Systems (RSS), 2024, arXiv:2403.03174.</v>
      </c>
      <c r="D71" s="61" t="str">
        <v>MOKA uses marked images and point-based affordances to interpret manipulation instructions. These geometric interfaces translate vision-language reasoning into executable control commands.</v>
      </c>
      <c r="E71" s="63" t="str">
        <v>https://arxiv.org/abs/2403.03174</v>
      </c>
      <c r="F71" s="61" t="str">
        <v>Planning/control context</v>
      </c>
      <c r="G71" s="61" t="str">
        <v>Paper</v>
      </c>
      <c r="H71" s="62" t="str">
        <v>Pending</v>
      </c>
      <c r="I71" s="62" t="str"/>
      <c r="J71" s="61" t="str">
        <v>arXiv:2403.03174</v>
      </c>
      <c r="K71" s="61" t="str">
        <v>moka</v>
      </c>
      <c r="L71" s="61" t="str"/>
      <c r="M71" s="61" t="str">
        <v>Previously primary-source-checked README catalogue and manuscript discussion; no new quantitative claims.</v>
      </c>
    </row>
    <row r="72" ht="62" customHeight="1">
      <c r="A72" s="60" t="n">
        <v>64</v>
      </c>
      <c r="B72" s="60" t="n">
        <v>2025</v>
      </c>
      <c r="C72" s="61" t="str">
        <v>Q. Zhao et al., “CoT-VLA: Visual chain-of-thought reasoning for vision-language-action models,” in Proc. IEEE/CVF Conf. Comput. Vis. Pattern Recognit. (CVPR), 2025, arXiv:2503.22020.</v>
      </c>
      <c r="D72" s="61" t="str">
        <v>CoT-VLA predicts future images as intermediate visual goals before generating action sequences. This visual chain of thought links prediction to policy execution without itself establishing candidate-action search.</v>
      </c>
      <c r="E72" s="63" t="str">
        <v>https://arxiv.org/abs/2503.22020</v>
      </c>
      <c r="F72" s="61" t="str">
        <v>World model/predictive system</v>
      </c>
      <c r="G72" s="61" t="str">
        <v>Paper</v>
      </c>
      <c r="H72" s="62" t="str">
        <v>Pending</v>
      </c>
      <c r="I72" s="62" t="str"/>
      <c r="J72" s="61" t="str">
        <v>arXiv:2503.22020</v>
      </c>
      <c r="K72" s="61" t="str">
        <v>cotvla</v>
      </c>
      <c r="L72" s="61" t="str"/>
      <c r="M72" s="61" t="str">
        <v>Previously primary-source-checked README catalogue and manuscript discussion; no new quantitative claims.</v>
      </c>
    </row>
    <row r="73" ht="145" customHeight="1">
      <c r="A73" s="60" t="n">
        <v>65</v>
      </c>
      <c r="B73" s="60" t="n">
        <v>2025</v>
      </c>
      <c r="C73" s="61" t="str">
        <v>M. U. Din, J. Rosell, W. Akram, I. Zaplana, M. A. Roa, L. Seneviratne, and I. Hussain, “Ontology-driven prompt tuning for LLM-based task and motion planning,” Robot. Auton. Syst, 2025.</v>
      </c>
      <c r="D73" s="61" t="str">
        <v>This framework enriches language-model prompts with ontology-based task knowledge and descriptions of the environment. It uses this knowledge to improve semantic consistency and temporal ordering in task-and-motion plans.</v>
      </c>
      <c r="E73" s="63" t="str">
        <v>https://arxiv.org/abs/2412.07493v1</v>
      </c>
      <c r="F73" s="61" t="str">
        <v>Planning/control context</v>
      </c>
      <c r="G73" s="61" t="str">
        <v>Paper</v>
      </c>
      <c r="H73" s="62" t="str">
        <v>Pending</v>
      </c>
      <c r="I73" s="62" t="str"/>
      <c r="J73" s="61" t="str">
        <v>arXiv:2412.07493</v>
      </c>
      <c r="K73" s="61" t="str">
        <v>ontollmtamp</v>
      </c>
      <c r="L73" s="61" t="str">
        <v>The linked arXiv v1 (10 December 2024) matches the supplied title and seven-author list. The as-cited 2025 Robotics and Autonomous Systems entry mixes version metadata: the journal article is ‘Onto-LLM-TAMP: Knowledge-oriented Task and Motion Planning using Large Language Models,’ vol. 200, article 105404 (2026), DOI 10.1016/j.robot.2026.105404, with six authors. The original reference and year are retained as cited; reconcile the intended version before submission.</v>
      </c>
      <c r="M73" s="61" t="str">
        <v>Primary-source abstract or article and manuscript context; source reviewed 2026-09-24.</v>
      </c>
    </row>
    <row r="74" ht="62" customHeight="1">
      <c r="A74" s="60" t="n">
        <v>66</v>
      </c>
      <c r="B74" s="60" t="n">
        <v>2022</v>
      </c>
      <c r="C74" s="61" t="str">
        <v>M. Shridhar, L. Manuelli, and D. Fox, “Perceiver-Actor: A multi-task transformer for robotic manipulation,” in Proc. Conf. Robot Learn. (CoRL), 2022, arXiv:2209.05451.</v>
      </c>
      <c r="D74" s="61" t="str">
        <v>PerAct encodes language goals and voxelized RGB-D observations with a Perceiver architecture. It learns discretized six-degree-of-freedom manipulation actions through behavior cloning.</v>
      </c>
      <c r="E74" s="63" t="str">
        <v>https://arxiv.org/abs/2209.05451</v>
      </c>
      <c r="F74" s="61" t="str">
        <v>VLA/action policy</v>
      </c>
      <c r="G74" s="61" t="str">
        <v>Paper</v>
      </c>
      <c r="H74" s="62" t="str">
        <v>Pending</v>
      </c>
      <c r="I74" s="62" t="str"/>
      <c r="J74" s="61" t="str">
        <v>arXiv:2209.05451</v>
      </c>
      <c r="K74" s="61" t="str">
        <v>peract</v>
      </c>
      <c r="L74" s="61" t="str"/>
      <c r="M74" s="61" t="str">
        <v>Previously primary-source-checked README catalogue and manuscript discussion; no new quantitative claims.</v>
      </c>
    </row>
    <row r="75" ht="62" customHeight="1">
      <c r="A75" s="60" t="n">
        <v>67</v>
      </c>
      <c r="B75" s="60" t="n">
        <v>2023</v>
      </c>
      <c r="C75" s="61" t="str">
        <v>A. Goyal, J. Xu, Y. Guo, V. Blukis, Y.-W. Chao, and D. Fox, “RVT: Robotic view transformer for 3D object manipulation,” in Proc. Conf. Robot Learn. (CoRL), 2023, arXiv:2306.14896.</v>
      </c>
      <c r="D75" s="61" t="str">
        <v>RVT combines rendered views of a three-dimensional scene with language-goal embeddings in a transformer. The resulting representation supports spatially grounded manipulation from limited demonstrations.</v>
      </c>
      <c r="E75" s="63" t="str">
        <v>https://arxiv.org/abs/2306.14896</v>
      </c>
      <c r="F75" s="61" t="str">
        <v>VLA/action policy</v>
      </c>
      <c r="G75" s="61" t="str">
        <v>Paper</v>
      </c>
      <c r="H75" s="62" t="str">
        <v>Pending</v>
      </c>
      <c r="I75" s="62" t="str"/>
      <c r="J75" s="61" t="str">
        <v>arXiv:2306.14896</v>
      </c>
      <c r="K75" s="61" t="str">
        <v>rvt</v>
      </c>
      <c r="L75" s="61" t="str"/>
      <c r="M75" s="61" t="str">
        <v>Previously primary-source-checked README catalogue and manuscript discussion; no new quantitative claims.</v>
      </c>
    </row>
    <row r="76" ht="62" customHeight="1">
      <c r="A76" s="60" t="n">
        <v>68</v>
      </c>
      <c r="B76" s="60" t="n">
        <v>2024</v>
      </c>
      <c r="C76" s="61" t="str">
        <v>A. Goyal, V. Blukis, J. Xu, Y. Guo, Y.-W. Chao, and D. Fox, “RVT-2: Learning precise manipulation from few demonstrations,” in Robotics: Science and Systems (RSS), 2024, arXiv:2406.08545.</v>
      </c>
      <c r="D76" s="61" t="str">
        <v>RVT-2 improves the architecture and execution of language-conditioned multi-view manipulation policies. It emphasizes precise control and efficient learning from few demonstrations.</v>
      </c>
      <c r="E76" s="63" t="str">
        <v>https://arxiv.org/abs/2406.08545</v>
      </c>
      <c r="F76" s="61" t="str">
        <v>VLA/action policy</v>
      </c>
      <c r="G76" s="61" t="str">
        <v>Paper</v>
      </c>
      <c r="H76" s="62" t="str">
        <v>Pending</v>
      </c>
      <c r="I76" s="62" t="str"/>
      <c r="J76" s="61" t="str">
        <v>arXiv:2406.08545</v>
      </c>
      <c r="K76" s="61" t="str">
        <v>rvt2</v>
      </c>
      <c r="L76" s="61" t="str"/>
      <c r="M76" s="61" t="str">
        <v>Previously primary-source-checked README catalogue and manuscript discussion; no new quantitative claims.</v>
      </c>
    </row>
    <row r="77" ht="62" customHeight="1">
      <c r="A77" s="60" t="n">
        <v>69</v>
      </c>
      <c r="B77" s="60" t="n">
        <v>2023</v>
      </c>
      <c r="C77" s="61" t="str">
        <v>T. Gervet, Z. Xian, N. Gkanatsios, and K. Fragkiadaki, “Act3D: 3D feature field transformers for multi-task robotic manipulation,” in Conference on Robot Learning (CoRL), 2023, arXiv:2306.17817.</v>
      </c>
      <c r="D77" s="61" t="str">
        <v>Act3D uses a hierarchical three-dimensional feature field with task-instruction conditioning to predict manipulation actions. Coarse-to-fine spatial sampling concentrates computation where precise action prediction is needed.</v>
      </c>
      <c r="E77" s="63" t="str">
        <v>https://arxiv.org/abs/2306.17817</v>
      </c>
      <c r="F77" s="61" t="str">
        <v>VLA/action policy</v>
      </c>
      <c r="G77" s="61" t="str">
        <v>Paper</v>
      </c>
      <c r="H77" s="62" t="str">
        <v>Pending</v>
      </c>
      <c r="I77" s="62" t="str"/>
      <c r="J77" s="61" t="str">
        <v>arXiv:2306.17817</v>
      </c>
      <c r="K77" s="61" t="str">
        <v>act3d</v>
      </c>
      <c r="L77" s="61" t="str"/>
      <c r="M77" s="61" t="str">
        <v>Previously primary-source-checked README catalogue and manuscript discussion; no new quantitative claims.</v>
      </c>
    </row>
    <row r="78" ht="62" customHeight="1">
      <c r="A78" s="60" t="n">
        <v>70</v>
      </c>
      <c r="B78" s="60" t="n">
        <v>2024</v>
      </c>
      <c r="C78" s="61" t="str">
        <v>H. Zhen, X. Qiu, P. Chen, J. Yang, X. Yan, Y. Du, Y. Hong, and C. Gan, “3D-VLA: A 3D vision-language-action generative world model,” in Proc. Int. Conf. Mach. Learn. (ICML), 2024, arXiv:2403.09631.</v>
      </c>
      <c r="D78" s="61" t="str">
        <v>3D-VLA combines three-dimensional vision-language representations with generation of future observations and robot actions. It connects spatial grounding with predictive policy learning for manipulation.</v>
      </c>
      <c r="E78" s="63" t="str">
        <v>https://arxiv.org/abs/2403.09631</v>
      </c>
      <c r="F78" s="61" t="str">
        <v>World model/predictive system</v>
      </c>
      <c r="G78" s="61" t="str">
        <v>Paper</v>
      </c>
      <c r="H78" s="62" t="str">
        <v>Pending</v>
      </c>
      <c r="I78" s="62" t="str"/>
      <c r="J78" s="61" t="str">
        <v>arXiv:2403.09631</v>
      </c>
      <c r="K78" s="61" t="str">
        <v>threedvla</v>
      </c>
      <c r="L78" s="61" t="str"/>
      <c r="M78" s="61" t="str">
        <v>Previously primary-source-checked README catalogue and manuscript discussion; no new quantitative claims.</v>
      </c>
    </row>
    <row r="79" ht="62" customHeight="1">
      <c r="A79" s="60" t="n">
        <v>71</v>
      </c>
      <c r="B79" s="60" t="n">
        <v>2025</v>
      </c>
      <c r="C79" s="61" t="str">
        <v>D. Qu, H. Song, Q. Chen, Y. Yao, X. Ye, Y. Ding, Z. Wang, J. Gu, B. Zhao, D. Wang et al., “SpatialVLA: Exploring spatial representations for visual-language-action models,” in Proc. Robot.: Sci. Syst. (RSS), 2025, arXiv:2501.15830.</v>
      </c>
      <c r="D79" s="61" t="str">
        <v>SpatialVLA uses geometric visual representations and spatially structured action tokens. These representations connect scene geometry with language-conditioned manipulation commands.</v>
      </c>
      <c r="E79" s="63" t="str">
        <v>https://arxiv.org/abs/2501.15830</v>
      </c>
      <c r="F79" s="61" t="str">
        <v>VLA/action policy</v>
      </c>
      <c r="G79" s="61" t="str">
        <v>Paper</v>
      </c>
      <c r="H79" s="62" t="str">
        <v>Pending</v>
      </c>
      <c r="I79" s="62" t="str"/>
      <c r="J79" s="61" t="str">
        <v>arXiv:2501.15830</v>
      </c>
      <c r="K79" s="61" t="str">
        <v>spatialvla</v>
      </c>
      <c r="L79" s="61" t="str"/>
      <c r="M79" s="61" t="str">
        <v>Previously primary-source-checked README catalogue and manuscript discussion; no new quantitative claims.</v>
      </c>
    </row>
    <row r="80" ht="62" customHeight="1">
      <c r="A80" s="60" t="n">
        <v>72</v>
      </c>
      <c r="B80" s="60" t="n">
        <v>2025</v>
      </c>
      <c r="C80" s="61" t="str">
        <v>Li et al., “PointVLA: Injecting the 3D world into vision-language-action models,” arXiv preprint, 2025, arXiv:2503.07511.</v>
      </c>
      <c r="D80" s="61" t="str">
        <v>PointVLA injects point-cloud information into pretrained VLA action modules through lightweight adaptation. It gives an existing policy access to three-dimensional geometry for manipulation.</v>
      </c>
      <c r="E80" s="63" t="str">
        <v>https://arxiv.org/abs/2503.07511</v>
      </c>
      <c r="F80" s="61" t="str">
        <v>VLA/action policy</v>
      </c>
      <c r="G80" s="61" t="str">
        <v>Paper</v>
      </c>
      <c r="H80" s="62" t="str">
        <v>Pending</v>
      </c>
      <c r="I80" s="62" t="str"/>
      <c r="J80" s="61" t="str">
        <v>arXiv:2503.07511</v>
      </c>
      <c r="K80" s="61" t="str">
        <v>pointvla</v>
      </c>
      <c r="L80" s="61" t="str"/>
      <c r="M80" s="61" t="str">
        <v>Previously primary-source-checked README catalogue and manuscript discussion; no new quantitative claims.</v>
      </c>
    </row>
    <row r="81" ht="62" customHeight="1">
      <c r="A81" s="60" t="n">
        <v>73</v>
      </c>
      <c r="B81" s="60" t="n">
        <v>2024</v>
      </c>
      <c r="C81" s="61" t="str">
        <v>Jia et al., “Lift3D foundation policy: Lifting 2D large-scale pretrained models for robust 3D robotic manipulation,” arXiv preprint, 2024, arXiv:2411.18623.</v>
      </c>
      <c r="D81" s="61" t="str">
        <v>Lift3D adapts pretrained two-dimensional visual features into implicit and explicit three-dimensional manipulation representations. Its reported policy uses point clouds and robot state without language conditioning.</v>
      </c>
      <c r="E81" s="63" t="str">
        <v>https://arxiv.org/abs/2411.18623</v>
      </c>
      <c r="F81" s="61" t="str">
        <v>Planning/control context</v>
      </c>
      <c r="G81" s="61" t="str">
        <v>Paper</v>
      </c>
      <c r="H81" s="62" t="str">
        <v>Pending</v>
      </c>
      <c r="I81" s="62" t="str"/>
      <c r="J81" s="61" t="str">
        <v>arXiv:2411.18623</v>
      </c>
      <c r="K81" s="61" t="str">
        <v>lift3d</v>
      </c>
      <c r="L81" s="61" t="str"/>
      <c r="M81" s="61" t="str">
        <v>Previously primary-source-checked README catalogue and manuscript discussion; no new quantitative claims.</v>
      </c>
    </row>
    <row r="82" ht="62" customHeight="1">
      <c r="A82" s="60" t="n">
        <v>74</v>
      </c>
      <c r="B82" s="60" t="n">
        <v>2025</v>
      </c>
      <c r="C82" s="61" t="str">
        <v>Yang et al., “FP3: A 3D foundation policy for robotic manipulation,” arXiv preprint, 2025, arXiv:2503.08950.</v>
      </c>
      <c r="D82" s="61" t="str">
        <v>FP3 pretrains a diffusion-transformer manipulation policy using point clouds, proprioception, and CLIP-encoded instructions. It adapts this language-conditioned three-dimensional policy to downstream tasks.</v>
      </c>
      <c r="E82" s="63" t="str">
        <v>https://arxiv.org/abs/2503.08950</v>
      </c>
      <c r="F82" s="61" t="str">
        <v>VLA/action policy</v>
      </c>
      <c r="G82" s="61" t="str">
        <v>Paper</v>
      </c>
      <c r="H82" s="62" t="str">
        <v>Pending</v>
      </c>
      <c r="I82" s="62" t="str"/>
      <c r="J82" s="61" t="str">
        <v>arXiv:2503.08950</v>
      </c>
      <c r="K82" s="61" t="str">
        <v>fp3</v>
      </c>
      <c r="L82" s="61" t="str"/>
      <c r="M82" s="61" t="str">
        <v>Previously primary-source-checked README catalogue and manuscript discussion; no new quantitative claims.</v>
      </c>
    </row>
    <row r="83" ht="62" customHeight="1">
      <c r="A83" s="60" t="n">
        <v>75</v>
      </c>
      <c r="B83" s="60" t="n">
        <v>2025</v>
      </c>
      <c r="C83" s="61" t="str">
        <v>Li et al., “BridgeVLA: Input-output alignment for efficient 3D manipulation learning,” arXiv preprint, 2025, arXiv:2506.07961. [Online]. Available:</v>
      </c>
      <c r="D83" s="61" t="str">
        <v>BridgeVLA projects three-dimensional observations into multiple image views and predicts spatial action heatmaps. This design aligns visual inputs with the spatial representation of control outputs.</v>
      </c>
      <c r="E83" s="63" t="str">
        <v>https://arxiv.org/abs/2506.07961</v>
      </c>
      <c r="F83" s="61" t="str">
        <v>VLA/action policy</v>
      </c>
      <c r="G83" s="61" t="str">
        <v>Paper</v>
      </c>
      <c r="H83" s="62" t="str">
        <v>Pending</v>
      </c>
      <c r="I83" s="62" t="str"/>
      <c r="J83" s="61" t="str">
        <v>arXiv:2506.07961</v>
      </c>
      <c r="K83" s="61" t="str">
        <v>bridgevla</v>
      </c>
      <c r="L83" s="61" t="str"/>
      <c r="M83" s="61" t="str">
        <v>Previously primary-source-checked README catalogue and manuscript discussion; no new quantitative claims.</v>
      </c>
    </row>
    <row r="84" ht="62" customHeight="1">
      <c r="A84" s="60" t="n">
        <v>76</v>
      </c>
      <c r="B84" s="60" t="n">
        <v>2025</v>
      </c>
      <c r="C84" s="61" t="str">
        <v>Deng et al., “GraspVLA: A grasping foundation model pre-trained on billion-scale synthetic action data,” arXiv preprint, 2025, arXiv:2505.03233.</v>
      </c>
      <c r="D84" s="61" t="str">
        <v>GraspVLA combines autoregressive perception with flow-matching action generation for grasping. Its training integrates synthetic robot data with semantic pretraining to support generalizable grasp behavior.</v>
      </c>
      <c r="E84" s="63" t="str">
        <v>https://arxiv.org/abs/2505.03233</v>
      </c>
      <c r="F84" s="61" t="str">
        <v>VLA/action policy</v>
      </c>
      <c r="G84" s="61" t="str">
        <v>Paper</v>
      </c>
      <c r="H84" s="62" t="str">
        <v>Pending</v>
      </c>
      <c r="I84" s="62" t="str"/>
      <c r="J84" s="61" t="str">
        <v>arXiv:2505.03233</v>
      </c>
      <c r="K84" s="61" t="str">
        <v>graspvla</v>
      </c>
      <c r="L84" s="61" t="str"/>
      <c r="M84" s="61" t="str">
        <v>Previously primary-source-checked README catalogue and manuscript discussion; no new quantitative claims.</v>
      </c>
    </row>
    <row r="85" ht="62" customHeight="1">
      <c r="A85" s="60" t="n">
        <v>77</v>
      </c>
      <c r="B85" s="60" t="n">
        <v>2025</v>
      </c>
      <c r="C85" s="61" t="str">
        <v>Sun et al., “GeoVLA: Empowering 3D representations in vision-language-action models,” arXiv preprint, 2025, arXiv:2508.09071.</v>
      </c>
      <c r="D85" s="61" t="str">
        <v>GeoVLA fuses image-language representations with point-cloud geometry in an action expert. This spatial interface supplies three-dimensional context for language-conditioned manipulation.</v>
      </c>
      <c r="E85" s="63" t="str">
        <v>https://arxiv.org/abs/2508.09071</v>
      </c>
      <c r="F85" s="61" t="str">
        <v>VLA/action policy</v>
      </c>
      <c r="G85" s="61" t="str">
        <v>Paper</v>
      </c>
      <c r="H85" s="62" t="str">
        <v>Pending</v>
      </c>
      <c r="I85" s="62" t="str"/>
      <c r="J85" s="61" t="str">
        <v>arXiv:2508.09071</v>
      </c>
      <c r="K85" s="61" t="str">
        <v>geovla</v>
      </c>
      <c r="L85" s="61" t="str"/>
      <c r="M85" s="61" t="str">
        <v>Previously primary-source-checked README catalogue and manuscript discussion; no new quantitative claims.</v>
      </c>
    </row>
    <row r="86" ht="62" customHeight="1">
      <c r="A86" s="60" t="n">
        <v>78</v>
      </c>
      <c r="B86" s="60" t="n">
        <v>2025</v>
      </c>
      <c r="C86" s="61" t="str">
        <v>Bhat et al., “3D CA VLA: Leveraging depth and 3D context to generalize vision-language-action models for unseen tasks,” arXiv preprint, 2025, arXiv:2505.05800.</v>
      </c>
      <c r="D86" s="61" t="str">
        <v>3D-CAVLA combines depth information, task-relevant visual regions, and intermediate reasoning for VLA adaptation. These cues support manipulation in tasks beyond those seen during training.</v>
      </c>
      <c r="E86" s="63" t="str">
        <v>https://arxiv.org/abs/2505.05800</v>
      </c>
      <c r="F86" s="61" t="str">
        <v>VLA/action policy</v>
      </c>
      <c r="G86" s="61" t="str">
        <v>Paper</v>
      </c>
      <c r="H86" s="62" t="str">
        <v>Pending</v>
      </c>
      <c r="I86" s="62" t="str"/>
      <c r="J86" s="61" t="str">
        <v>arXiv:2505.05800</v>
      </c>
      <c r="K86" s="61" t="str">
        <v>cavla</v>
      </c>
      <c r="L86" s="61" t="str"/>
      <c r="M86" s="61" t="str">
        <v>Previously primary-source-checked README catalogue and manuscript discussion; no new quantitative claims.</v>
      </c>
    </row>
    <row r="87" ht="62" customHeight="1">
      <c r="A87" s="60" t="n">
        <v>79</v>
      </c>
      <c r="B87" s="60" t="n">
        <v>2025</v>
      </c>
      <c r="C87" s="61" t="str">
        <v>Y. Guo et al., “Improving vision-language-action model with online reinforcement learning,” in Proc. IEEE Int. Conf. Robot. Autom. (ICRA), 2025, arXiv:2501.16664.</v>
      </c>
      <c r="D87" s="61" t="str">
        <v>iRe-VLA alternates reinforcement-learning improvement with supervised learning. This alternating procedure aims to stabilize interactive adaptation of pretrained VLA policies.</v>
      </c>
      <c r="E87" s="63" t="str">
        <v>https://arxiv.org/abs/2501.16664</v>
      </c>
      <c r="F87" s="61" t="str">
        <v>Policy training/adaptation method</v>
      </c>
      <c r="G87" s="61" t="str">
        <v>Paper</v>
      </c>
      <c r="H87" s="62" t="str">
        <v>Pending</v>
      </c>
      <c r="I87" s="62" t="str"/>
      <c r="J87" s="61" t="str">
        <v>arXiv:2501.16664</v>
      </c>
      <c r="K87" s="61" t="str">
        <v>irevla</v>
      </c>
      <c r="L87" s="61" t="str"/>
      <c r="M87" s="61" t="str">
        <v>Previously primary-source-checked README catalogue and manuscript discussion; no new quantitative claims.</v>
      </c>
    </row>
    <row r="88" ht="62" customHeight="1">
      <c r="A88" s="60" t="n">
        <v>80</v>
      </c>
      <c r="B88" s="60" t="n">
        <v>2024</v>
      </c>
      <c r="C88" s="61" t="str">
        <v>Z. Zhang et al., “GRAPE: Generalizing robot policy via preference alignment,” arXiv preprint, 2024, arXiv:2411.19309.</v>
      </c>
      <c r="D88" s="61" t="str">
        <v>GRAPE aligns robot policies using trajectory preferences derived from successful and unsuccessful behavior. Task-specific spatial and temporal constraints guide the preference-based training signal.</v>
      </c>
      <c r="E88" s="63" t="str">
        <v>https://arxiv.org/abs/2411.19309</v>
      </c>
      <c r="F88" s="61" t="str">
        <v>Policy training/adaptation method</v>
      </c>
      <c r="G88" s="61" t="str">
        <v>Paper</v>
      </c>
      <c r="H88" s="62" t="str">
        <v>Pending</v>
      </c>
      <c r="I88" s="62" t="str"/>
      <c r="J88" s="61" t="str">
        <v>arXiv:2411.19309</v>
      </c>
      <c r="K88" s="61" t="str">
        <v>grape</v>
      </c>
      <c r="L88" s="61" t="str"/>
      <c r="M88" s="61" t="str">
        <v>Previously primary-source-checked README catalogue and manuscript discussion; no new quantitative claims.</v>
      </c>
    </row>
    <row r="89" ht="62" customHeight="1">
      <c r="A89" s="60" t="n">
        <v>81</v>
      </c>
      <c r="B89" s="60" t="n">
        <v>2024</v>
      </c>
      <c r="C89" s="61" t="str">
        <v>Xu et al., “RLDG: Robotic generalist policy distillation via reinforcement learning,” arXiv preprint, 2024, arXiv:2412.09858. [Online]. Available:</v>
      </c>
      <c r="D89" s="61" t="str">
        <v>RLDG distills trajectories produced by task-specific reinforcement-learning policies into a generalist robot policy. It uses specialist behavior as an additional source of training data for generalist control.</v>
      </c>
      <c r="E89" s="63" t="str">
        <v>https://arxiv.org/abs/2412.09858</v>
      </c>
      <c r="F89" s="61" t="str">
        <v>Policy training/adaptation method</v>
      </c>
      <c r="G89" s="61" t="str">
        <v>Paper</v>
      </c>
      <c r="H89" s="62" t="str">
        <v>Pending</v>
      </c>
      <c r="I89" s="62" t="str"/>
      <c r="J89" s="61" t="str">
        <v>arXiv:2412.09858</v>
      </c>
      <c r="K89" s="61" t="str">
        <v>rldg</v>
      </c>
      <c r="L89" s="61" t="str"/>
      <c r="M89" s="61" t="str">
        <v>Previously primary-source-checked README catalogue and manuscript discussion; no new quantitative claims.</v>
      </c>
    </row>
    <row r="90" ht="62" customHeight="1">
      <c r="A90" s="60" t="n">
        <v>82</v>
      </c>
      <c r="B90" s="60" t="n">
        <v>2025</v>
      </c>
      <c r="C90" s="61" t="str">
        <v>Chen et al., “ConRFT: A reinforced fine-tuning method for VLA models via consistency policy,” arXiv preprint, 2025, arXiv:2502.05450. [Online]. Available:</v>
      </c>
      <c r="D90" s="61" t="str">
        <v>ConRFT fine-tunes VLA policies through offline and online reinforcement learning with a consistency-based objective. Human intervention during online learning supports adaptation to physical manipulation tasks.</v>
      </c>
      <c r="E90" s="63" t="str">
        <v>https://arxiv.org/abs/2502.05450</v>
      </c>
      <c r="F90" s="61" t="str">
        <v>Policy training/adaptation method</v>
      </c>
      <c r="G90" s="61" t="str">
        <v>Paper</v>
      </c>
      <c r="H90" s="62" t="str">
        <v>Pending</v>
      </c>
      <c r="I90" s="62" t="str"/>
      <c r="J90" s="61" t="str">
        <v>arXiv:2502.05450</v>
      </c>
      <c r="K90" s="61" t="str">
        <v>conrft</v>
      </c>
      <c r="L90" s="61" t="str"/>
      <c r="M90" s="61" t="str">
        <v>Previously primary-source-checked README catalogue and manuscript discussion; no new quantitative claims.</v>
      </c>
    </row>
    <row r="91" ht="62" customHeight="1">
      <c r="A91" s="60" t="n">
        <v>83</v>
      </c>
      <c r="B91" s="60" t="n">
        <v>2025</v>
      </c>
      <c r="C91" s="61" t="str">
        <v>Lu et al., “VLA-RL: Towards masterful and general robotic manipulation with scalable reinforcement learning,” arXiv preprint, 2025, arXiv:2505.18719.</v>
      </c>
      <c r="D91" s="61" t="str">
        <v>VLA-RL applies online reinforcement learning to autoregressive VLA policies. Its framework combines scalable training infrastructure with a learned progress-reward model.</v>
      </c>
      <c r="E91" s="63" t="str">
        <v>https://arxiv.org/abs/2505.18719</v>
      </c>
      <c r="F91" s="61" t="str">
        <v>Policy training/adaptation method</v>
      </c>
      <c r="G91" s="61" t="str">
        <v>Paper</v>
      </c>
      <c r="H91" s="62" t="str">
        <v>Pending</v>
      </c>
      <c r="I91" s="62" t="str"/>
      <c r="J91" s="61" t="str">
        <v>arXiv:2505.18719</v>
      </c>
      <c r="K91" s="61" t="str">
        <v>vlarl</v>
      </c>
      <c r="L91" s="61" t="str"/>
      <c r="M91" s="61" t="str">
        <v>Previously primary-source-checked README catalogue and manuscript discussion; no new quantitative claims.</v>
      </c>
    </row>
    <row r="92" ht="70" customHeight="1">
      <c r="A92" s="60" t="n">
        <v>84</v>
      </c>
      <c r="B92" s="60" t="n">
        <v>2025</v>
      </c>
      <c r="C92" s="61" t="str">
        <v>J. Hu, R. Hendrix, A. Farhadi, A. Kembhavi, R. Martín-Martín, P. Stone, K.-H. Zeng, and K. Ehsani, “FLaRe: Achieving masterful and adaptive robot policies with large-scale reinforcement learning fine-tuning,” in Proc. IEEE Int. Conf. Robot. Autom. (ICRA), 2025, arXiv:2409.16578. [Online]. Available:</v>
      </c>
      <c r="D92" s="61" t="str">
        <v>FLaRe uses large-scale reinforcement-learning fine-tuning to improve pretrained robot policies. It is distinct from FLARE, the separate method for aligning policy features with future latent representations.</v>
      </c>
      <c r="E92" s="63" t="str">
        <v>https://arxiv.org/abs/2409.16578</v>
      </c>
      <c r="F92" s="61" t="str">
        <v>Policy training/adaptation method</v>
      </c>
      <c r="G92" s="61" t="str">
        <v>Paper</v>
      </c>
      <c r="H92" s="62" t="str">
        <v>Pending</v>
      </c>
      <c r="I92" s="62" t="str"/>
      <c r="J92" s="61" t="str">
        <v>arXiv:2409.16578</v>
      </c>
      <c r="K92" s="61" t="str">
        <v>flarerl</v>
      </c>
      <c r="L92" s="61" t="str"/>
      <c r="M92" s="61" t="str">
        <v>Previously primary-source-checked README catalogue and manuscript discussion; no new quantitative claims.</v>
      </c>
    </row>
    <row r="93" ht="62" customHeight="1">
      <c r="A93" s="60" t="n">
        <v>85</v>
      </c>
      <c r="B93" s="60" t="n">
        <v>2025</v>
      </c>
      <c r="C93" s="61" t="str">
        <v>J. Wen, Y. Zhu, J. Li, M. Zhu, K. Wu, Z. Xu, N. Liu, R. Cheng, C. Shen, Y. Peng et al., “TinyVLA: Towards fast, data-efficient vision-languageaction models for robotic manipulation,” IEEE Robot. Autom. Lett, 2025, arXiv:2409.12514.</v>
      </c>
      <c r="D93" s="61" t="str">
        <v>TinyVLA combines a compact multimodal backbone with a diffusion action decoder. It targets manipulation learning with lower computation and fewer demonstrations.</v>
      </c>
      <c r="E93" s="63" t="str">
        <v>https://arxiv.org/abs/2409.12514</v>
      </c>
      <c r="F93" s="61" t="str">
        <v>VLA/action policy</v>
      </c>
      <c r="G93" s="61" t="str">
        <v>Paper</v>
      </c>
      <c r="H93" s="62" t="str">
        <v>Pending</v>
      </c>
      <c r="I93" s="62" t="str"/>
      <c r="J93" s="61" t="str">
        <v>arXiv:2409.12514</v>
      </c>
      <c r="K93" s="61" t="str">
        <v>tinyvla</v>
      </c>
      <c r="L93" s="61" t="str"/>
      <c r="M93" s="61" t="str">
        <v>Previously primary-source-checked README catalogue and manuscript discussion; no new quantitative claims.</v>
      </c>
    </row>
    <row r="94" ht="70" customHeight="1">
      <c r="A94" s="60" t="n">
        <v>86</v>
      </c>
      <c r="B94" s="60" t="n">
        <v>2025</v>
      </c>
      <c r="C94" s="61" t="str">
        <v>M. Shukor, D. Aubakirova, F. Capuano, P. Kooijmans, S. Palma, A. Zouitine, M. Aractingi, C. Pascal, M. Russi, A. Marafioti et al., “SmolVLA: A vision-language-action model for affordable and efficient robotics,” arXiv preprint, 2025, arXiv:2506.01844.</v>
      </c>
      <c r="D94" s="61" t="str">
        <v>SmolVLA uses a compact vision-language backbone and a flow-matching action expert. Its asynchronous inference design supports robot deployment with modest computational resources.</v>
      </c>
      <c r="E94" s="63" t="str">
        <v>https://arxiv.org/abs/2506.01844</v>
      </c>
      <c r="F94" s="61" t="str">
        <v>VLA/action policy</v>
      </c>
      <c r="G94" s="61" t="str">
        <v>Paper</v>
      </c>
      <c r="H94" s="62" t="str">
        <v>Pending</v>
      </c>
      <c r="I94" s="62" t="str"/>
      <c r="J94" s="61" t="str">
        <v>arXiv:2506.01844</v>
      </c>
      <c r="K94" s="61" t="str">
        <v>smolvla</v>
      </c>
      <c r="L94" s="61" t="str"/>
      <c r="M94" s="61" t="str">
        <v>Previously primary-source-checked README catalogue and manuscript discussion; no new quantitative claims.</v>
      </c>
    </row>
    <row r="95" ht="62" customHeight="1">
      <c r="A95" s="60" t="n">
        <v>87</v>
      </c>
      <c r="B95" s="60" t="n">
        <v>2025</v>
      </c>
      <c r="C95" s="61" t="str">
        <v>Budzianowski et al., “EdgeVLA: Efficient vision-language-action models for edge deployment,” arXiv preprint, 2025, arXiv:2507.14049. [Online]. Available:</v>
      </c>
      <c r="D95" s="61" t="str">
        <v>EdgeVLA combines a smaller language backbone with non-autoregressive action prediction. It targets reduced inference and memory costs on resource-constrained robot hardware.</v>
      </c>
      <c r="E95" s="63" t="str">
        <v>https://arxiv.org/abs/2507.14049</v>
      </c>
      <c r="F95" s="61" t="str">
        <v>VLA/action policy</v>
      </c>
      <c r="G95" s="61" t="str">
        <v>Paper</v>
      </c>
      <c r="H95" s="62" t="str">
        <v>Pending</v>
      </c>
      <c r="I95" s="62" t="str"/>
      <c r="J95" s="61" t="str">
        <v>arXiv:2507.14049</v>
      </c>
      <c r="K95" s="61" t="str">
        <v>edgevla</v>
      </c>
      <c r="L95" s="61" t="str"/>
      <c r="M95" s="61" t="str">
        <v>Previously primary-source-checked README catalogue and manuscript discussion; no new quantitative claims.</v>
      </c>
    </row>
    <row r="96" ht="70" customHeight="1">
      <c r="A96" s="60" t="n">
        <v>88</v>
      </c>
      <c r="B96" s="60" t="n">
        <v>2024</v>
      </c>
      <c r="C96" s="61" t="str">
        <v>J. Liu, M. Liu, Z. Wang, L. Lee, K. Zhou, P. An, S. Yang, R. Zhang, Y. Guo, and S. Zhang, “RoboMamba: Multimodal state space model for efficient robot reasoning and manipulation,” in Adv. Neural Inf. Process. Syst. (NeurIPS), 2024, arXiv:2406.04339.</v>
      </c>
      <c r="D96" s="61" t="str">
        <v>RoboMamba uses a Mamba state-space backbone for multimodal reasoning and robot-action prediction. It explores efficient language-conditioned manipulation through this alternative sequence-model architecture.</v>
      </c>
      <c r="E96" s="63" t="str">
        <v>https://arxiv.org/abs/2406.04339</v>
      </c>
      <c r="F96" s="61" t="str">
        <v>VLA/action policy</v>
      </c>
      <c r="G96" s="61" t="str">
        <v>Paper</v>
      </c>
      <c r="H96" s="62" t="str">
        <v>Pending</v>
      </c>
      <c r="I96" s="62" t="str"/>
      <c r="J96" s="61" t="str">
        <v>arXiv:2406.04339</v>
      </c>
      <c r="K96" s="61" t="str">
        <v>robomamba</v>
      </c>
      <c r="L96" s="61" t="str"/>
      <c r="M96" s="61" t="str">
        <v>Previously primary-source-checked README catalogue and manuscript discussion; no new quantitative claims.</v>
      </c>
    </row>
    <row r="97" ht="62" customHeight="1">
      <c r="A97" s="60" t="n">
        <v>89</v>
      </c>
      <c r="B97" s="60" t="n">
        <v>2025</v>
      </c>
      <c r="C97" s="61" t="str">
        <v>Wang et al., “BitVLA: 1-bit vision-language-action models for robotics manipulation,” arXiv preprint, 2025, arXiv:2506.07530.</v>
      </c>
      <c r="D97" s="61" t="str">
        <v>BitVLA combines low-bit model weights with visual-encoder compression to reduce the memory and inference demands of a VLA policy. It addresses resource-efficient manipulation deployment rather than explicit prediction of action consequences.</v>
      </c>
      <c r="E97" s="63" t="str">
        <v>https://arxiv.org/abs/2506.07530</v>
      </c>
      <c r="F97" s="61" t="str">
        <v>VLA/action policy</v>
      </c>
      <c r="G97" s="61" t="str">
        <v>Paper</v>
      </c>
      <c r="H97" s="62" t="str">
        <v>Pending</v>
      </c>
      <c r="I97" s="62" t="str"/>
      <c r="J97" s="61" t="str">
        <v>arXiv:2506.07530</v>
      </c>
      <c r="K97" s="61" t="str">
        <v>bitvla</v>
      </c>
      <c r="L97" s="61" t="str"/>
      <c r="M97" s="61" t="str">
        <v>Source-checked VLA/action-policy README catalogue (2026-09-23) and surgical manuscript context; no new quantitative claim.</v>
      </c>
    </row>
    <row r="98" ht="62" customHeight="1">
      <c r="A98" s="60" t="n">
        <v>90</v>
      </c>
      <c r="B98" s="60" t="n">
        <v>2025</v>
      </c>
      <c r="C98" s="61" t="str">
        <v>Xu et al., “VLA-Cache: Towards efficient vision-language-action model via adaptive token caching,” arXiv preprint, 2025, arXiv:2502.02175.</v>
      </c>
      <c r="D98" s="61" t="str">
        <v>VLA-Cache reuses visual tokens that change little between observations while recomputing task-relevant information. This reduces repeated inference work in an existing VLA control pipeline.</v>
      </c>
      <c r="E98" s="63" t="str">
        <v>https://arxiv.org/abs/2502.02175</v>
      </c>
      <c r="F98" s="61" t="str">
        <v>VLA inference method</v>
      </c>
      <c r="G98" s="61" t="str">
        <v>Paper</v>
      </c>
      <c r="H98" s="62" t="str">
        <v>Pending</v>
      </c>
      <c r="I98" s="62" t="str"/>
      <c r="J98" s="61" t="str">
        <v>arXiv:2502.02175</v>
      </c>
      <c r="K98" s="61" t="str">
        <v>vlacache</v>
      </c>
      <c r="L98" s="61" t="str"/>
      <c r="M98" s="61" t="str">
        <v>Source-checked VLA/action-policy README catalogue (2026-09-23) and surgical manuscript context; no new quantitative claim.</v>
      </c>
    </row>
    <row r="99" ht="62" customHeight="1">
      <c r="A99" s="60" t="n">
        <v>91</v>
      </c>
      <c r="B99" s="60" t="n">
        <v>2025</v>
      </c>
      <c r="C99" s="61" t="str">
        <v>Yang et al., “EfficientVLA: Training-free acceleration and compression for vision-language-action models,” arXiv preprint, 2025, arXiv:2506.10100.</v>
      </c>
      <c r="D99" s="61" t="str">
        <v>EfficientVLA accelerates existing policies through language-layer pruning, visual-token selection, and reuse of diffusion-head features. Its contribution is a training-free reduction of policy inference cost.</v>
      </c>
      <c r="E99" s="63" t="str">
        <v>https://arxiv.org/abs/2506.10100</v>
      </c>
      <c r="F99" s="61" t="str">
        <v>VLA inference method</v>
      </c>
      <c r="G99" s="61" t="str">
        <v>Paper</v>
      </c>
      <c r="H99" s="62" t="str">
        <v>Pending</v>
      </c>
      <c r="I99" s="62" t="str"/>
      <c r="J99" s="61" t="str">
        <v>arXiv:2506.10100</v>
      </c>
      <c r="K99" s="61" t="str">
        <v>efficientvla</v>
      </c>
      <c r="L99" s="61" t="str"/>
      <c r="M99" s="61" t="str">
        <v>Source-checked VLA/action-policy README catalogue (2026-09-23) and surgical manuscript context; no new quantitative claim.</v>
      </c>
    </row>
    <row r="100" ht="62" customHeight="1">
      <c r="A100" s="60" t="n">
        <v>92</v>
      </c>
      <c r="B100" s="60" t="n">
        <v>2025</v>
      </c>
      <c r="C100" s="61" t="str">
        <v>Song et al., “Accelerating vision-language-action model integrated with action chunking via parallel decoding,” arXiv preprint, 2025, arXiv:2503.02310.</v>
      </c>
      <c r="D100" s="61" t="str">
        <v>PD-VLA applies parallel fixed-point iterations to decode action chunks from an autoregressive VLA. It targets action-generation latency while retaining the policy formulation of robot control.</v>
      </c>
      <c r="E100" s="63" t="str">
        <v>https://arxiv.org/abs/2503.02310</v>
      </c>
      <c r="F100" s="61" t="str">
        <v>VLA inference method</v>
      </c>
      <c r="G100" s="61" t="str">
        <v>Paper</v>
      </c>
      <c r="H100" s="62" t="str">
        <v>Pending</v>
      </c>
      <c r="I100" s="62" t="str"/>
      <c r="J100" s="61" t="str">
        <v>arXiv:2503.02310</v>
      </c>
      <c r="K100" s="61" t="str">
        <v>pdvla</v>
      </c>
      <c r="L100" s="61" t="str"/>
      <c r="M100" s="61" t="str">
        <v>Source-checked VLA/action-policy README catalogue (2026-09-23) and surgical manuscript context; no new quantitative claim.</v>
      </c>
    </row>
    <row r="101" ht="62" customHeight="1">
      <c r="A101" s="60" t="n">
        <v>93</v>
      </c>
      <c r="B101" s="60" t="n">
        <v>2025</v>
      </c>
      <c r="C101" s="61" t="str">
        <v>–––, “CEED-VLA: Consistency vision-language-action model with early-exit decoding,” arXiv preprint, 2025, arXiv:2506.13725.</v>
      </c>
      <c r="D101" s="61" t="str">
        <v>CEED-VLA uses consistency distillation and early-exit decoding to accelerate action-token generation. It studies efficient execution of VLA policies under constrained inference budgets.</v>
      </c>
      <c r="E101" s="63" t="str">
        <v>https://arxiv.org/abs/2506.13725</v>
      </c>
      <c r="F101" s="61" t="str">
        <v>VLA inference method</v>
      </c>
      <c r="G101" s="61" t="str">
        <v>Paper</v>
      </c>
      <c r="H101" s="62" t="str">
        <v>Pending</v>
      </c>
      <c r="I101" s="62" t="str"/>
      <c r="J101" s="61" t="str">
        <v>arXiv:2506.13725</v>
      </c>
      <c r="K101" s="61" t="str">
        <v>ceedvla</v>
      </c>
      <c r="L101" s="61" t="str"/>
      <c r="M101" s="61" t="str">
        <v>Source-checked VLA/action-policy README catalogue (2026-09-23) and surgical manuscript context; no new quantitative claim.</v>
      </c>
    </row>
    <row r="102" ht="70" customHeight="1">
      <c r="A102" s="60" t="n">
        <v>94</v>
      </c>
      <c r="B102" s="60" t="n">
        <v>2024</v>
      </c>
      <c r="C102" s="61" t="str">
        <v>Y. Yue, Y. Wang, B. Kang, Y. Han, S. Wang, S. Song, J. Feng, and G. Huang, “DeeR-VLA: Dynamic inference of multimodal large language models for efficient robot execution,” in Advances in Neural Information Processing Systems (NeurIPS), 2024, arXiv:2411.02359.</v>
      </c>
      <c r="D102" s="61" t="str">
        <v>DeeR-VLA equips a multimodal policy backbone with multiple exits so that inference depth can vary with the current input. It links robot execution efficiency to adaptive computation rather than a fixed processing depth.</v>
      </c>
      <c r="E102" s="63" t="str">
        <v>https://arxiv.org/abs/2411.02359</v>
      </c>
      <c r="F102" s="61" t="str">
        <v>VLA inference method</v>
      </c>
      <c r="G102" s="61" t="str">
        <v>Paper</v>
      </c>
      <c r="H102" s="62" t="str">
        <v>Pending</v>
      </c>
      <c r="I102" s="62" t="str"/>
      <c r="J102" s="61" t="str">
        <v>arXiv:2411.02359</v>
      </c>
      <c r="K102" s="61" t="str">
        <v>deervla</v>
      </c>
      <c r="L102" s="61" t="str"/>
      <c r="M102" s="61" t="str">
        <v>Source-checked VLA/action-policy README catalogue (2026-09-23) and surgical manuscript context; no new quantitative claim.</v>
      </c>
    </row>
    <row r="103" ht="62" customHeight="1">
      <c r="A103" s="60" t="n">
        <v>95</v>
      </c>
      <c r="B103" s="60" t="n">
        <v>2025</v>
      </c>
      <c r="C103" s="61" t="str">
        <v>Google DeepMind, “Gemini Robotics On-Device: Bringing AI to local robotic devices,” Google DeepMind announcement, 2025.</v>
      </c>
      <c r="D103" s="61" t="str">
        <v>Gemini Robotics On-Device is a vendor-reported VLA designed to run locally on robot hardware. The release describes adaptation to manipulation tasks through fine-tuning and provides context for on-device deployment.</v>
      </c>
      <c r="E103" s="63" t="str">
        <v>https://deepmind.google/blog/gemini-robotics-on-device-brings-ai-to-local-robotic-devices/</v>
      </c>
      <c r="F103" s="61" t="str">
        <v>Vendor technical release</v>
      </c>
      <c r="G103" s="61" t="str">
        <v>Technical release / software</v>
      </c>
      <c r="H103" s="62" t="str">
        <v>Pending</v>
      </c>
      <c r="I103" s="62" t="str"/>
      <c r="J103" s="61" t="str">
        <v>https://deepmind.google/blog/gemini-robotics-on-device-brings-ai-to-local-robotic-devices/</v>
      </c>
      <c r="K103" s="61" t="str">
        <v>geminiondevice</v>
      </c>
      <c r="L103" s="61" t="str"/>
      <c r="M103" s="61" t="str">
        <v>Source-checked VLA/action-policy README catalogue (2026-09-23) and surgical manuscript context; no new quantitative claim.</v>
      </c>
    </row>
    <row r="104" ht="70" customHeight="1">
      <c r="A104" s="60" t="n">
        <v>96</v>
      </c>
      <c r="B104" s="60" t="n">
        <v>2025</v>
      </c>
      <c r="C104" s="61" t="str">
        <v>J. Chen, H. Liang, L. Du, W. Wang, M. Hu, Y. Mu, W. Wang, J. Dai, P. Luo, W. Shao, and L. Shao, “OWMM-Agent: Open world mobile manipulation with multi-modal agentic data synthesis,” in Advances in Neural Information Processing Systems (NeurIPS), 2025, arXiv:2506.04217.</v>
      </c>
      <c r="D104" s="61" t="str">
        <v>OWMM-Agent uses multimodal scene and robot-state context to coordinate mobile manipulation through function calls. Its associated instruction tuning supports an agentic integration of perception, navigation, and manipulation components.</v>
      </c>
      <c r="E104" s="63" t="str">
        <v>https://arxiv.org/abs/2506.04217</v>
      </c>
      <c r="F104" s="61" t="str">
        <v>Planning/control context</v>
      </c>
      <c r="G104" s="61" t="str">
        <v>Paper</v>
      </c>
      <c r="H104" s="62" t="str">
        <v>Pending</v>
      </c>
      <c r="I104" s="62" t="str"/>
      <c r="J104" s="61" t="str">
        <v>arXiv:2506.04217</v>
      </c>
      <c r="K104" s="61" t="str">
        <v>owmmagent</v>
      </c>
      <c r="L104" s="61" t="str"/>
      <c r="M104" s="61" t="str">
        <v>Source-checked VLA/action-policy README catalogue (2026-09-23) and surgical manuscript context; no new quantitative claim.</v>
      </c>
    </row>
    <row r="105" ht="62" customHeight="1">
      <c r="A105" s="60" t="n">
        <v>97</v>
      </c>
      <c r="B105" s="60" t="n">
        <v>2024</v>
      </c>
      <c r="C105" s="61" t="str">
        <v>P. Liu, Y. Orru, J. Vakil, C. Paxton, N. M. M. Shafiullah, and L. Pinto, “OK-Robot: What really matters in integrating open-knowledge models for robotics,” arXiv preprint, 2024, arXiv:2401.12202.</v>
      </c>
      <c r="D105" s="61" t="str">
        <v>OK-Robot integrates open perception, navigation, and grasping components for language-directed mobile manipulation. It studies how these components work together in unfamiliar environments.</v>
      </c>
      <c r="E105" s="63" t="str">
        <v>https://arxiv.org/abs/2401.12202</v>
      </c>
      <c r="F105" s="61" t="str">
        <v>Planning/control context</v>
      </c>
      <c r="G105" s="61" t="str">
        <v>Paper</v>
      </c>
      <c r="H105" s="62" t="str">
        <v>Pending</v>
      </c>
      <c r="I105" s="62" t="str"/>
      <c r="J105" s="61" t="str">
        <v>arXiv:2401.12202</v>
      </c>
      <c r="K105" s="61" t="str">
        <v>okrobot</v>
      </c>
      <c r="L105" s="61" t="str"/>
      <c r="M105" s="61" t="str">
        <v>Source-checked VLA/action-policy README catalogue (2026-09-23) and surgical manuscript context; no new quantitative claim.</v>
      </c>
    </row>
    <row r="106" ht="62" customHeight="1">
      <c r="A106" s="60" t="n">
        <v>98</v>
      </c>
      <c r="B106" s="60" t="n">
        <v>2025</v>
      </c>
      <c r="C106" s="61" t="str">
        <v>Fan et al., “Long-VLA: Unleashing long-horizon capability of vision-language-action models,” arXiv preprint, 2025, arXiv:2508.19958.</v>
      </c>
      <c r="D106" s="61" t="str">
        <v>Long-VLA uses phase-aware masking of sensory inputs to support coordination across successive subtasks. It addresses error accumulation and execution over extended manipulation horizons.</v>
      </c>
      <c r="E106" s="63" t="str">
        <v>https://arxiv.org/abs/2508.19958</v>
      </c>
      <c r="F106" s="61" t="str">
        <v>VLA/action policy</v>
      </c>
      <c r="G106" s="61" t="str">
        <v>Paper</v>
      </c>
      <c r="H106" s="62" t="str">
        <v>Pending</v>
      </c>
      <c r="I106" s="62" t="str"/>
      <c r="J106" s="61" t="str">
        <v>arXiv:2508.19958</v>
      </c>
      <c r="K106" s="61" t="str">
        <v>longvla</v>
      </c>
      <c r="L106" s="61" t="str"/>
      <c r="M106" s="61" t="str">
        <v>Source-checked VLA/action-policy README catalogue (2026-09-23) and surgical manuscript context; no new quantitative claim.</v>
      </c>
    </row>
    <row r="107" ht="62" customHeight="1">
      <c r="A107" s="60" t="n">
        <v>99</v>
      </c>
      <c r="B107" s="60" t="n">
        <v>2025</v>
      </c>
      <c r="C107" s="61" t="str">
        <v>Yang et al., “LoHoVLA: A unified vision-language-action model for long-horizon embodied tasks,” arXiv preprint, 2025, arXiv:2506.00411.</v>
      </c>
      <c r="D107" s="61" t="str">
        <v>LoHoVLA jointly generates subtask language and robot-action tokens. Hierarchical feedback connects these outputs during multi-step embodied task execution.</v>
      </c>
      <c r="E107" s="63" t="str">
        <v>https://arxiv.org/abs/2506.00411</v>
      </c>
      <c r="F107" s="61" t="str">
        <v>VLA/action policy</v>
      </c>
      <c r="G107" s="61" t="str">
        <v>Paper</v>
      </c>
      <c r="H107" s="62" t="str">
        <v>Pending</v>
      </c>
      <c r="I107" s="62" t="str"/>
      <c r="J107" s="61" t="str">
        <v>arXiv:2506.00411</v>
      </c>
      <c r="K107" s="61" t="str">
        <v>lohovla</v>
      </c>
      <c r="L107" s="61" t="str"/>
      <c r="M107" s="61" t="str">
        <v>Source-checked VLA/action-policy README catalogue (2026-09-23) and surgical manuscript context; no new quantitative claim.</v>
      </c>
    </row>
    <row r="108" ht="62" customHeight="1">
      <c r="A108" s="60" t="n">
        <v>100</v>
      </c>
      <c r="B108" s="60" t="n">
        <v>2025</v>
      </c>
      <c r="C108" s="61" t="str">
        <v>NVIDIA GEAR Lab, “GR00T N1.5: An improved open foundation model for generalist humanoid robots,” NVIDIA Research, , 2025.</v>
      </c>
      <c r="D108" s="61" t="str">
        <v>GR00T N1.5 extends the GR00T humanoid policy family with changes to its architecture and training data. The official release describes future-latent representation alignment as a component of policy learning.</v>
      </c>
      <c r="E108" s="63" t="str">
        <v>https://research.nvidia.com/labs/gear/gr00t-n1_5/</v>
      </c>
      <c r="F108" s="61" t="str">
        <v>Vendor technical release</v>
      </c>
      <c r="G108" s="61" t="str">
        <v>Technical release / software</v>
      </c>
      <c r="H108" s="62" t="str">
        <v>Pending</v>
      </c>
      <c r="I108" s="62" t="str"/>
      <c r="J108" s="61" t="str">
        <v>https://research.nvidia.com/labs/gear/gr00t-n1_5/</v>
      </c>
      <c r="K108" s="61" t="str">
        <v>grootn15</v>
      </c>
      <c r="L108" s="61" t="str"/>
      <c r="M108" s="61" t="str">
        <v>Source-checked VLA/action-policy README catalogue (2026-09-23) and surgical manuscript context; no new quantitative claim.</v>
      </c>
    </row>
    <row r="109" ht="62" customHeight="1">
      <c r="A109" s="60" t="n">
        <v>101</v>
      </c>
      <c r="B109" s="60" t="n">
        <v>2024</v>
      </c>
      <c r="C109" s="61" t="str">
        <v>C.-L. Cheang, G. Chen, Y. Jing, T. Kong, H. Li, Y. Li, Y. Liu, H. Wu, J. Xu, Y. Yang et al., “GR-2: A generative video-language-action model with web-scale knowledge for robot manipulation,” arXiv preprint, 2024, arXiv:2410.06158.</v>
      </c>
      <c r="D109" s="61" t="str">
        <v>GR-2 combines large-scale video pretraining with joint video and action learning for robotic manipulation. Its predictive-policy formulation connects visual knowledge from web video to robot trajectories.</v>
      </c>
      <c r="E109" s="63" t="str">
        <v>https://arxiv.org/abs/2410.06158</v>
      </c>
      <c r="F109" s="61" t="str">
        <v>VLA/action policy</v>
      </c>
      <c r="G109" s="61" t="str">
        <v>Paper</v>
      </c>
      <c r="H109" s="62" t="str">
        <v>Pending</v>
      </c>
      <c r="I109" s="62" t="str"/>
      <c r="J109" s="61" t="str">
        <v>arXiv:2410.06158</v>
      </c>
      <c r="K109" s="61" t="str">
        <v>gr2</v>
      </c>
      <c r="L109" s="61" t="str">
        <v>Vendor-authored technical research paper, not reclassified as nonpaper simply because evidence is vendor-reported.</v>
      </c>
      <c r="M109" s="61" t="str">
        <v>Source-checked VLA/action-policy README catalogue (2026-09-23) and surgical manuscript context; no new quantitative claim.</v>
      </c>
    </row>
    <row r="110" ht="62" customHeight="1">
      <c r="A110" s="60" t="n">
        <v>102</v>
      </c>
      <c r="B110" s="60" t="n">
        <v>2025</v>
      </c>
      <c r="C110" s="61" t="str">
        <v>Gemini Robotics Team, “Gemini Robotics 1.5: Pushing the frontier of generalist robots with advanced embodied reasoning, thinking, and motion transfer,” arXiv preprint, 2025, arXiv:2510.03342.</v>
      </c>
      <c r="D110" s="61" t="str">
        <v>Gemini Robotics 1.5 integrates embodied reasoning with action generation in a multi-embodiment policy. The developer report also describes transferring motion knowledge across robot configurations.</v>
      </c>
      <c r="E110" s="63" t="str">
        <v>https://arxiv.org/abs/2510.03342</v>
      </c>
      <c r="F110" s="61" t="str">
        <v>VLA/action policy</v>
      </c>
      <c r="G110" s="61" t="str">
        <v>Paper</v>
      </c>
      <c r="H110" s="62" t="str">
        <v>Pending</v>
      </c>
      <c r="I110" s="62" t="str"/>
      <c r="J110" s="61" t="str">
        <v>arXiv:2510.03342</v>
      </c>
      <c r="K110" s="61" t="str">
        <v>gemini15</v>
      </c>
      <c r="L110" s="61" t="str">
        <v>Vendor-authored technical research paper, not reclassified as nonpaper simply because evidence is vendor-reported.</v>
      </c>
      <c r="M110" s="61" t="str">
        <v>Source-checked VLA/action-policy README catalogue (2026-09-23) and surgical manuscript context; no new quantitative claim.</v>
      </c>
    </row>
    <row r="111" ht="62" customHeight="1">
      <c r="A111" s="60" t="n">
        <v>103</v>
      </c>
      <c r="B111" s="60" t="n">
        <v>2024</v>
      </c>
      <c r="C111" s="61" t="str">
        <v>Chiang et al., “Mobility VLA: Multimodal instruction navigation with long-context VLMs and topological graphs,” arXiv preprint, 2024, arXiv:2407.07775.</v>
      </c>
      <c r="D111" s="61" t="str">
        <v>Mobility VLA combines long-context vision-language understanding with topological navigation. Its reported setting concerns multimodal instruction following for navigation, providing context for broader mobile-robot systems.</v>
      </c>
      <c r="E111" s="63" t="str">
        <v>https://arxiv.org/abs/2407.07775</v>
      </c>
      <c r="F111" s="61" t="str">
        <v>Planning/control context</v>
      </c>
      <c r="G111" s="61" t="str">
        <v>Paper</v>
      </c>
      <c r="H111" s="62" t="str">
        <v>Pending</v>
      </c>
      <c r="I111" s="62" t="str"/>
      <c r="J111" s="61" t="str">
        <v>arXiv:2407.07775</v>
      </c>
      <c r="K111" s="61" t="str">
        <v>mobilityvla</v>
      </c>
      <c r="L111" s="61" t="str"/>
      <c r="M111" s="61" t="str">
        <v>Source-checked VLA/action-policy README catalogue (2026-09-23) and surgical manuscript context; no new quantitative claim.</v>
      </c>
    </row>
    <row r="112" ht="62" customHeight="1">
      <c r="A112" s="60" t="n">
        <v>104</v>
      </c>
      <c r="B112" s="60" t="n">
        <v>2011</v>
      </c>
      <c r="C112" s="61" t="str">
        <v>S. Ross, G. J. Gordon, and J. A. Bagnell, “A reduction of imitation learning and structured prediction to no-regret online learning,” in Proc. Int. Conf. Artif. Intell. Statist. (AISTATS), 2011.</v>
      </c>
      <c r="D112" s="61" t="str">
        <v>DAgger addresses imitation-learning distribution shift by iteratively collecting expert labels on states encountered by the learner. The paper connects this data-aggregation procedure to no-regret online learning and sequential prediction.</v>
      </c>
      <c r="E112" s="63" t="str">
        <v>https://proceedings.mlr.press/v15/ross11a/ross11a.pdf</v>
      </c>
      <c r="F112" s="61" t="str">
        <v>Methodology</v>
      </c>
      <c r="G112" s="61" t="str">
        <v>Paper</v>
      </c>
      <c r="H112" s="62" t="str">
        <v>Pending</v>
      </c>
      <c r="I112" s="62" t="str"/>
      <c r="J112" s="61" t="str">
        <v>https://proceedings.mlr.press/v15/ross11a/ross11a.pdf</v>
      </c>
      <c r="K112" s="61" t="str">
        <v>dagger</v>
      </c>
      <c r="L112" s="61" t="str"/>
      <c r="M112" s="61" t="str">
        <v>Primary-source abstract or official release checked online on 2026-09-24; manuscript context used to identify the cited role.</v>
      </c>
    </row>
    <row r="113" ht="70" customHeight="1">
      <c r="A113" s="60" t="n">
        <v>105</v>
      </c>
      <c r="B113" s="60" t="n">
        <v>2024</v>
      </c>
      <c r="C113" s="61" t="str">
        <v>A. Khazatsky, K. Pertsch, S. Nair, A. Balakrishna, S. Dasari, S. Karamcheti, S. Nasiriany, M. K. Srirama, L. Y. Chen, K. Ellis et al., “DROID: A large-scale in-the-wild robot manipulation dataset,” arXiv preprint, 2024, arXiv:2403.12945.</v>
      </c>
      <c r="D113" s="61" t="str">
        <v>DROID provides diverse real-world robot manipulation demonstrations collected across environments. It supports research on policy learning and generalization from robot observations and actions.</v>
      </c>
      <c r="E113" s="63" t="str">
        <v>https://arxiv.org/abs/2403.12945</v>
      </c>
      <c r="F113" s="61" t="str">
        <v>Dataset/benchmark</v>
      </c>
      <c r="G113" s="61" t="str">
        <v>Paper</v>
      </c>
      <c r="H113" s="62" t="str">
        <v>Pending</v>
      </c>
      <c r="I113" s="62" t="str"/>
      <c r="J113" s="61" t="str">
        <v>arXiv:2403.12945</v>
      </c>
      <c r="K113" s="61" t="str">
        <v>droid</v>
      </c>
      <c r="L113" s="61" t="str"/>
      <c r="M113" s="61" t="str">
        <v>Supported by the surgical manuscript discussion and earlier primary-source review notes; qualitative scope retained without new performance claims.</v>
      </c>
    </row>
    <row r="114" ht="62" customHeight="1">
      <c r="A114" s="60" t="n">
        <v>106</v>
      </c>
      <c r="B114" s="60" t="n">
        <v>2025</v>
      </c>
      <c r="C114" s="61" t="str">
        <v>NVIDIA, “Cosmos world foundation model platform for physical AI,” arXiv preprint, 2025, arXiv:2501.03575.</v>
      </c>
      <c r="D114" s="61" t="str">
        <v>Cosmos provides video tokenization and generative world foundation models for physical-AI development. Action conditioning and robot-control use depend on the particular model and its adaptation.</v>
      </c>
      <c r="E114" s="63" t="str">
        <v>https://arxiv.org/abs/2501.03575</v>
      </c>
      <c r="F114" s="61" t="str">
        <v>World model/predictive system</v>
      </c>
      <c r="G114" s="61" t="str">
        <v>Paper</v>
      </c>
      <c r="H114" s="62" t="str">
        <v>Pending</v>
      </c>
      <c r="I114" s="62" t="str"/>
      <c r="J114" s="61" t="str">
        <v>arXiv:2501.03575</v>
      </c>
      <c r="K114" s="61" t="str">
        <v>cosmos</v>
      </c>
      <c r="L114" s="61" t="str"/>
      <c r="M114" s="61" t="str">
        <v>Source-checked world-model README catalogue (2026-09-23) and surgical manuscript context; no new quantitative claim.</v>
      </c>
    </row>
    <row r="115" ht="62" customHeight="1">
      <c r="A115" s="60" t="n">
        <v>107</v>
      </c>
      <c r="B115" s="60" t="n">
        <v>2025</v>
      </c>
      <c r="C115" s="61" t="str">
        <v>S. Motamed, L. Culp, K. Swersky, P. Jaini, and R. Geirhos, “Do generative video models understand physical laws?” in Proc. IEEE/CVF Int. Conf. Comput. Vis. (ICCV), 2025, arXiv:2501.09038.</v>
      </c>
      <c r="D115" s="61" t="str">
        <v>Physics-IQ evaluates physical prediction using paired real videos rather than visual plausibility alone. It supplies evidence about physical consistency in generative video models without directly measuring robot-control success.</v>
      </c>
      <c r="E115" s="63" t="str">
        <v>https://arxiv.org/abs/2501.09038</v>
      </c>
      <c r="F115" s="61" t="str">
        <v>Dataset/benchmark</v>
      </c>
      <c r="G115" s="61" t="str">
        <v>Paper</v>
      </c>
      <c r="H115" s="62" t="str">
        <v>Pending</v>
      </c>
      <c r="I115" s="62" t="str"/>
      <c r="J115" s="61" t="str">
        <v>arXiv:2501.09038</v>
      </c>
      <c r="K115" s="61" t="str">
        <v>physicsiq</v>
      </c>
      <c r="L115" s="61" t="str"/>
      <c r="M115" s="61" t="str">
        <v>Supported by the surgical manuscript discussion and earlier primary-source review notes; qualitative scope retained without new performance claims.</v>
      </c>
    </row>
    <row r="116" ht="62" customHeight="1">
      <c r="A116" s="60" t="n">
        <v>108</v>
      </c>
      <c r="B116" s="60" t="n">
        <v>2025</v>
      </c>
      <c r="C116" s="61" t="str">
        <v>Li et al., “WorldModelBench: Judging video generation models as world models,” arXiv preprint, 2025, arXiv:2502.20694.</v>
      </c>
      <c r="D116" s="61" t="str">
        <v>WorldModelBench evaluates instruction-conditioned video generation against physical principles. It assesses properties of generated worlds rather than serving as a direct manipulation-policy success benchmark.</v>
      </c>
      <c r="E116" s="63" t="str">
        <v>https://arxiv.org/abs/2502.20694</v>
      </c>
      <c r="F116" s="61" t="str">
        <v>Dataset/benchmark</v>
      </c>
      <c r="G116" s="61" t="str">
        <v>Paper</v>
      </c>
      <c r="H116" s="62" t="str">
        <v>Pending</v>
      </c>
      <c r="I116" s="62" t="str"/>
      <c r="J116" s="61" t="str">
        <v>arXiv:2502.20694</v>
      </c>
      <c r="K116" s="61" t="str">
        <v>wmbench</v>
      </c>
      <c r="L116" s="61" t="str"/>
      <c r="M116" s="61" t="str">
        <v>Supported by the surgical manuscript discussion and earlier primary-source review notes; qualitative scope retained without new performance claims.</v>
      </c>
    </row>
    <row r="117" ht="62" customHeight="1">
      <c r="A117" s="60" t="n">
        <v>109</v>
      </c>
      <c r="B117" s="60" t="n">
        <v>2025</v>
      </c>
      <c r="C117" s="61" t="str">
        <v>Z. Huang et al., “VBench-2.0: Advancing video generation benchmark suite for intrinsic faithfulness,” arXiv preprint, 2025, arXiv:2503.21755.</v>
      </c>
      <c r="D117" s="61" t="str">
        <v>VBench-2.0 evaluates generated video for human fidelity, controllability, creativity, physics, and commonsense. Its metrics target intrinsic faithfulness beyond surface visual plausibility.</v>
      </c>
      <c r="E117" s="63" t="str">
        <v>https://arxiv.org/abs/2503.21755</v>
      </c>
      <c r="F117" s="61" t="str">
        <v>Dataset/benchmark</v>
      </c>
      <c r="G117" s="61" t="str">
        <v>Paper</v>
      </c>
      <c r="H117" s="62" t="str">
        <v>Pending</v>
      </c>
      <c r="I117" s="62" t="str"/>
      <c r="J117" s="61" t="str">
        <v>arXiv:2503.21755</v>
      </c>
      <c r="K117" s="61" t="str">
        <v>vbench2</v>
      </c>
      <c r="L117" s="61" t="str"/>
      <c r="M117" s="61" t="str">
        <v>Primary-source abstract or official release checked online on 2026-09-24; manuscript context used to identify the cited role.</v>
      </c>
    </row>
    <row r="118" ht="62" customHeight="1">
      <c r="A118" s="60" t="n">
        <v>110</v>
      </c>
      <c r="B118" s="60" t="n">
        <v>2024</v>
      </c>
      <c r="C118" s="61" t="str">
        <v>X. Li, K. Hsu, J. Gu, K. Pertsch, O. Mees, H. R. Walke, C. Fu, I. Lunawat, I. Sieh, S. Kirmani et al., “Evaluating real-world robot manipulation policies in simulation,” arXiv preprint, 2024, arXiv:2405.05941.</v>
      </c>
      <c r="D118" s="61" t="str">
        <v>SimplerEnv constructs simulated evaluations intended to correspond to physical robot manipulation settings. It studies how closely policy performance in these simulations tracks real-world evaluation.</v>
      </c>
      <c r="E118" s="63" t="str">
        <v>https://arxiv.org/abs/2405.05941</v>
      </c>
      <c r="F118" s="61" t="str">
        <v>Dataset/benchmark</v>
      </c>
      <c r="G118" s="61" t="str">
        <v>Paper</v>
      </c>
      <c r="H118" s="62" t="str">
        <v>Pending</v>
      </c>
      <c r="I118" s="62" t="str"/>
      <c r="J118" s="61" t="str">
        <v>arXiv:2405.05941</v>
      </c>
      <c r="K118" s="61" t="str">
        <v>simplerenv</v>
      </c>
      <c r="L118" s="61" t="str"/>
      <c r="M118" s="61" t="str">
        <v>Supported by the surgical manuscript discussion and earlier primary-source review notes; qualitative scope retained without new performance claims.</v>
      </c>
    </row>
    <row r="119" ht="70" customHeight="1">
      <c r="A119" s="60" t="n">
        <v>111</v>
      </c>
      <c r="B119" s="60" t="n">
        <v>2026</v>
      </c>
      <c r="C119" s="61" t="str">
        <v>R. Cui, Z. Zhang, J. Pang, H. Chi, J. Guo, S. Zhang, S. Xie, X. Jin, Y. Mu, J. Yang, G. Yao, X. Zhan, Y.-Q. Zhang, and H. Zhao, “LIBERO-Safety: A comprehensive benchmark for physical and semantic safety in vision-language-action models,” arXiv preprint, 2026, arXiv:2606.23686.</v>
      </c>
      <c r="D119" s="61" t="str">
        <v>LIBERO-Safety procedurally generates safety-critical manipulation scenarios and accompanying collision-free demonstrations. It evaluates physical and semantic safety properties of embodied policies under task constraints.</v>
      </c>
      <c r="E119" s="63" t="str">
        <v>https://arxiv.org/abs/2606.23686</v>
      </c>
      <c r="F119" s="61" t="str">
        <v>Dataset/benchmark</v>
      </c>
      <c r="G119" s="61" t="str">
        <v>Paper</v>
      </c>
      <c r="H119" s="62" t="str">
        <v>Pending</v>
      </c>
      <c r="I119" s="62" t="str"/>
      <c r="J119" s="61" t="str">
        <v>arXiv:2606.23686</v>
      </c>
      <c r="K119" s="61" t="str">
        <v>safelibero</v>
      </c>
      <c r="L119" s="61" t="str"/>
      <c r="M119" s="61" t="str">
        <v>Primary-source abstract or official release checked online on 2026-09-24; manuscript context used to identify the cited role.</v>
      </c>
    </row>
    <row r="120" ht="70" customHeight="1">
      <c r="A120" s="60" t="n">
        <v>112</v>
      </c>
      <c r="B120" s="60" t="n">
        <v>2023</v>
      </c>
      <c r="C120" s="61" t="str">
        <v>A. Z. Ren, A. Dixit, A. Bodrova, S. Singh, S. Tu, N. Brown, P. Xu, L. Takayama, F. Xia, J. Varley et al., “Robots that ask for help: Uncertainty alignment for large language model planners,” in Proc. Conf. Robot Learn. (CoRL), 2023, arXiv:2307.01928.</v>
      </c>
      <c r="D120" s="61" t="str">
        <v>KnowNo uses conformal prediction to calibrate uncertainty in language-model planning. The framework uses this uncertainty to determine when a robot should request human assistance.</v>
      </c>
      <c r="E120" s="63" t="str">
        <v>https://arxiv.org/abs/2307.01928</v>
      </c>
      <c r="F120" s="61" t="str">
        <v>Planning/control context</v>
      </c>
      <c r="G120" s="61" t="str">
        <v>Paper</v>
      </c>
      <c r="H120" s="62" t="str">
        <v>Pending</v>
      </c>
      <c r="I120" s="62" t="str"/>
      <c r="J120" s="61" t="str">
        <v>arXiv:2307.01928</v>
      </c>
      <c r="K120" s="61" t="str">
        <v>knowno</v>
      </c>
      <c r="L120" s="61" t="str"/>
      <c r="M120" s="61" t="str">
        <v>Source-checked VLA/action-policy README catalogue (2026-09-23) and surgical manuscript context; no new quantitative claim.</v>
      </c>
    </row>
    <row r="121" ht="62" customHeight="1">
      <c r="A121" s="60" t="n">
        <v>113</v>
      </c>
      <c r="B121" s="60" t="n">
        <v>2019</v>
      </c>
      <c r="C121" s="61" t="str">
        <v>A. D. Ames, S. Coogan, M. Egerstedt, G. Notomista, K. Sreenath, and P. Tabuada, “Control barrier functions: Theory and applications,” in Proc. Eur. Control Conf. (ECC), 2019.</v>
      </c>
      <c r="D121" s="61" t="str">
        <v>This overview explains how control barrier functions can verify and enforce safety properties of dynamical systems. It connects the theory to optimization-based safety-critical controllers and robotic applications.</v>
      </c>
      <c r="E121" s="63" t="str">
        <v>https://arxiv.org/abs/1903.11199</v>
      </c>
      <c r="F121" s="61" t="str">
        <v>Planning/control context</v>
      </c>
      <c r="G121" s="61" t="str">
        <v>Paper</v>
      </c>
      <c r="H121" s="62" t="str">
        <v>Pending</v>
      </c>
      <c r="I121" s="62" t="str"/>
      <c r="J121" s="61" t="str">
        <v>arXiv:1903.11199</v>
      </c>
      <c r="K121" s="61" t="str">
        <v>cbf</v>
      </c>
      <c r="L121" s="61" t="str">
        <v>Foundational control survey/tutorial, not a review-methodology reporting guideline.</v>
      </c>
      <c r="M121" s="61" t="str">
        <v>Primary-source abstract or official release checked online on 2026-09-24; manuscript context used to identify the cited role.</v>
      </c>
    </row>
    <row r="122" ht="62" customHeight="1">
      <c r="A122" s="60" t="n">
        <v>114</v>
      </c>
      <c r="B122" s="60" t="n">
        <v>2017</v>
      </c>
      <c r="C122" s="61" t="str">
        <v>S. Bansal, M. Chen, S. Herbert, and C. J. Tomlin, “Hamilton–Jacobi reachability: A brief overview and recent advances,” in Proc. IEEE Conf. Decis. Control (CDC), 2017.</v>
      </c>
      <c r="D122" s="61" t="str">
        <v>This tutorial reviews Hamilton-Jacobi reachability for analyzing safety and performance of nonlinear dynamical systems with bounded disturbances. It also discusses numerical tools and approaches to the computational difficulty of high-dimensional systems.</v>
      </c>
      <c r="E122" s="63" t="str">
        <v>https://arxiv.org/abs/1709.07523</v>
      </c>
      <c r="F122" s="61" t="str">
        <v>Planning/control context</v>
      </c>
      <c r="G122" s="61" t="str">
        <v>Paper</v>
      </c>
      <c r="H122" s="62" t="str">
        <v>Pending</v>
      </c>
      <c r="I122" s="62" t="str"/>
      <c r="J122" s="61" t="str">
        <v>arXiv:1709.07523</v>
      </c>
      <c r="K122" s="61" t="str">
        <v>hjreach</v>
      </c>
      <c r="L122" s="61" t="str">
        <v>Foundational control survey/tutorial, not a review-methodology reporting guideline.</v>
      </c>
      <c r="M122" s="61" t="str">
        <v>Primary-source abstract or official release checked online on 2026-09-24; manuscript context used to identify the cited role.</v>
      </c>
    </row>
    <row r="123" ht="62" customHeight="1">
      <c r="A123" s="60" t="n">
        <v>115</v>
      </c>
      <c r="B123" s="60" t="n">
        <v>2018</v>
      </c>
      <c r="C123" s="61" t="str">
        <v>D. Ha and J. Schmidhuber, “World models,” arXiv preprint, 2018, arXiv:1803.10122.</v>
      </c>
      <c r="D123" s="61" t="str">
        <v>World Models combines a variational image encoder, recurrent latent dynamics, and a compact controller. It demonstrates learning behavior within a learned environment in simulated control tasks.</v>
      </c>
      <c r="E123" s="63" t="str">
        <v>https://arxiv.org/abs/1803.10122</v>
      </c>
      <c r="F123" s="61" t="str">
        <v>World model/predictive system</v>
      </c>
      <c r="G123" s="61" t="str">
        <v>Paper</v>
      </c>
      <c r="H123" s="62" t="str">
        <v>Pending</v>
      </c>
      <c r="I123" s="62" t="str"/>
      <c r="J123" s="61" t="str">
        <v>arXiv:1803.10122</v>
      </c>
      <c r="K123" s="61" t="str">
        <v>worldmodels2018</v>
      </c>
      <c r="L123" s="61" t="str"/>
      <c r="M123" s="61" t="str">
        <v>Source-checked world-model README catalogue (2026-09-23) and surgical manuscript context; no new quantitative claim.</v>
      </c>
    </row>
    <row r="124" ht="62" customHeight="1">
      <c r="A124" s="60" t="n">
        <v>116</v>
      </c>
      <c r="B124" s="60" t="n">
        <v>2019</v>
      </c>
      <c r="C124" s="61" t="str">
        <v>D. Hafner, T. Lillicrap, I. Fischer, R. Villegas, D. Ha, H. Lee, and J. Davidson, “Learning latent dynamics for planning from pixels,” in Proc. Int. Conf. Mach. Learn. (ICML), 2019, arXiv:1811.04551. [Online]. Available:</v>
      </c>
      <c r="D124" s="61" t="str">
        <v>PlaNet learns action-conditioned recurrent latent dynamics from images. It uses model-predictive control to select action sequences by evaluating imagined futures.</v>
      </c>
      <c r="E124" s="63" t="str">
        <v>https://arxiv.org/abs/1811.04551</v>
      </c>
      <c r="F124" s="61" t="str">
        <v>World model/predictive system</v>
      </c>
      <c r="G124" s="61" t="str">
        <v>Paper</v>
      </c>
      <c r="H124" s="62" t="str">
        <v>Pending</v>
      </c>
      <c r="I124" s="62" t="str"/>
      <c r="J124" s="61" t="str">
        <v>arXiv:1811.04551</v>
      </c>
      <c r="K124" s="61" t="str">
        <v>planet</v>
      </c>
      <c r="L124" s="61" t="str"/>
      <c r="M124" s="61" t="str">
        <v>Source-checked world-model README catalogue (2026-09-23) and surgical manuscript context; no new quantitative claim.</v>
      </c>
    </row>
    <row r="125" ht="62" customHeight="1">
      <c r="A125" s="60" t="n">
        <v>117</v>
      </c>
      <c r="B125" s="60" t="n">
        <v>2025</v>
      </c>
      <c r="C125" s="61" t="str">
        <v>D. Hafner, J. Pasukonis, J. Ba, and T. Lillicrap, “Mastering diverse control tasks through world models,” Nature, vol. 640, pp. 647–653, 2025.</v>
      </c>
      <c r="D125" s="61" t="str">
        <v>DreamerV3 learns policies and value functions through trajectories imagined in a latent dynamics model. Its training design aims to support varied control domains with a common configuration.</v>
      </c>
      <c r="E125" s="63" t="str">
        <v>https://arxiv.org/abs/2301.04104</v>
      </c>
      <c r="F125" s="61" t="str">
        <v>World model/predictive system</v>
      </c>
      <c r="G125" s="61" t="str">
        <v>Paper</v>
      </c>
      <c r="H125" s="62" t="str">
        <v>Pending</v>
      </c>
      <c r="I125" s="62" t="str"/>
      <c r="J125" s="61" t="str">
        <v>arXiv:2301.04104</v>
      </c>
      <c r="K125" s="61" t="str">
        <v>dreamerv3</v>
      </c>
      <c r="L125" s="61" t="str"/>
      <c r="M125" s="61" t="str">
        <v>Source-checked world-model README catalogue (2026-09-23) and surgical manuscript context; no new quantitative claim.</v>
      </c>
    </row>
    <row r="126" ht="70" customHeight="1">
      <c r="A126" s="60" t="n">
        <v>118</v>
      </c>
      <c r="B126" s="60" t="n">
        <v>2020</v>
      </c>
      <c r="C126" s="61" t="str">
        <v>J. Schrittwieser, I. Antonoglou, T. Hubert, K. Simonyan, L. Sifre, S. Schmitt, A. Guez, E. Lockhart, D. Hassabis, T. Graepel et al., “Mastering Atari, Go, chess and shogi by planning with a learned model,” Nature, vol. 588, pp. 604–609, 2020.</v>
      </c>
      <c r="D126" s="61" t="str">
        <v>MuZero learns latent transitions that predict rewards, values, and action priors for tree search. Its cited demonstrations concern games, with planning-relevant prediction that does not require observation reconstruction.</v>
      </c>
      <c r="E126" s="63" t="str">
        <v>https://arxiv.org/abs/1911.08265</v>
      </c>
      <c r="F126" s="61" t="str">
        <v>World model/predictive system</v>
      </c>
      <c r="G126" s="61" t="str">
        <v>Paper</v>
      </c>
      <c r="H126" s="62" t="str">
        <v>Pending</v>
      </c>
      <c r="I126" s="62" t="str"/>
      <c r="J126" s="61" t="str">
        <v>arXiv:1911.08265</v>
      </c>
      <c r="K126" s="61" t="str">
        <v>muzero</v>
      </c>
      <c r="L126" s="61" t="str"/>
      <c r="M126" s="61" t="str">
        <v>Source-checked world-model README catalogue (2026-09-23) and surgical manuscript context; no new quantitative claim.</v>
      </c>
    </row>
    <row r="127" ht="62" customHeight="1">
      <c r="A127" s="60" t="n">
        <v>119</v>
      </c>
      <c r="B127" s="60" t="n">
        <v>2024</v>
      </c>
      <c r="C127" s="61" t="str">
        <v>N. Hansen, H. Su, and X. Wang, “TD-MPC2: Scalable, robust world models for continuous control,” in Proc. Int. Conf. Learn. Representations (ICLR), 2024, arXiv:2310.16828.</v>
      </c>
      <c r="D127" s="61" t="str">
        <v>TD-MPC2 learns task-conditioned latent dynamics and value functions for continuous control. These predictions support model-predictive control across multiple tasks.</v>
      </c>
      <c r="E127" s="63" t="str">
        <v>https://arxiv.org/abs/2310.16828</v>
      </c>
      <c r="F127" s="61" t="str">
        <v>World model/predictive system</v>
      </c>
      <c r="G127" s="61" t="str">
        <v>Paper</v>
      </c>
      <c r="H127" s="62" t="str">
        <v>Pending</v>
      </c>
      <c r="I127" s="62" t="str"/>
      <c r="J127" s="61" t="str">
        <v>arXiv:2310.16828</v>
      </c>
      <c r="K127" s="61" t="str">
        <v>tdmpc2</v>
      </c>
      <c r="L127" s="61" t="str"/>
      <c r="M127" s="61" t="str">
        <v>Source-checked world-model README catalogue (2026-09-23) and surgical manuscript context; no new quantitative claim.</v>
      </c>
    </row>
    <row r="128" ht="62" customHeight="1">
      <c r="A128" s="60" t="n">
        <v>120</v>
      </c>
      <c r="B128" s="60" t="n">
        <v>2023</v>
      </c>
      <c r="C128" s="61" t="str">
        <v>Y. Du, S. Yang, B. Dai, H. Dai, O. Nachum, J. B. Tenenbaum, D. Schuurmans, and P. Abbeel, “Learning universal policies via text-guided video generation,” in Adv. Neural Inf. Process. Syst. (NeurIPS), 2023.</v>
      </c>
      <c r="D128" s="61" t="str">
        <v>UniPi generates a language-conditioned video plan and recovers executable actions through inverse dynamics. The generated plan is a visual action proposal rather than a forward prediction conditioned on supplied candidate robot actions.</v>
      </c>
      <c r="E128" s="63" t="str">
        <v>https://arxiv.org/abs/2302.00111</v>
      </c>
      <c r="F128" s="61" t="str">
        <v>World model/predictive system</v>
      </c>
      <c r="G128" s="61" t="str">
        <v>Paper</v>
      </c>
      <c r="H128" s="62" t="str">
        <v>Pending</v>
      </c>
      <c r="I128" s="62" t="str"/>
      <c r="J128" s="61" t="str">
        <v>arXiv:2302.00111</v>
      </c>
      <c r="K128" s="61" t="str">
        <v>unipi</v>
      </c>
      <c r="L128" s="61" t="str"/>
      <c r="M128" s="61" t="str">
        <v>Source-checked world-model README catalogue (2026-09-23) and surgical manuscript context; no new quantitative claim.</v>
      </c>
    </row>
    <row r="129" ht="62" customHeight="1">
      <c r="A129" s="60" t="n">
        <v>121</v>
      </c>
      <c r="B129" s="60" t="n">
        <v>2024</v>
      </c>
      <c r="C129" s="61" t="str">
        <v>S. Yang, Y. Du, K. Ghasemipour, J. Tompson, L. Kaelbling, D. Schuurmans, and P. Abbeel, “Learning interactive real-world simulators,” in Proc. Int. Conf. Learn. Representations (ICLR), 2024.</v>
      </c>
      <c r="D129" s="61" t="str">
        <v>UniSim learns an interactive video simulator that responds to high-level instructions or low-level controls. It supports policy learning and evaluation through generated environment interactions.</v>
      </c>
      <c r="E129" s="63" t="str">
        <v>https://arxiv.org/abs/2310.06114</v>
      </c>
      <c r="F129" s="61" t="str">
        <v>World model/predictive system</v>
      </c>
      <c r="G129" s="61" t="str">
        <v>Paper</v>
      </c>
      <c r="H129" s="62" t="str">
        <v>Pending</v>
      </c>
      <c r="I129" s="62" t="str"/>
      <c r="J129" s="61" t="str">
        <v>arXiv:2310.06114</v>
      </c>
      <c r="K129" s="61" t="str">
        <v>unisim</v>
      </c>
      <c r="L129" s="61" t="str"/>
      <c r="M129" s="61" t="str">
        <v>Source-checked world-model README catalogue (2026-09-23) and surgical manuscript context; no new quantitative claim.</v>
      </c>
    </row>
    <row r="130" ht="62" customHeight="1">
      <c r="A130" s="60" t="n">
        <v>122</v>
      </c>
      <c r="B130" s="60" t="n">
        <v>2024</v>
      </c>
      <c r="C130" s="61" t="str">
        <v>P.-C. Ko, J. Mao, Y. Du, S.-H. Sun, and J. B. Tenenbaum, “Learning to act from actionless videos through dense correspondences,” in International Conference on Learning Representations (ICLR), 2024, arXiv:2310.08576.</v>
      </c>
      <c r="D130" s="61" t="str">
        <v>AVDC generates task-directed videos and uses dense correspondences between frames to infer control actions. This connects action-free video demonstrations to robot execution.</v>
      </c>
      <c r="E130" s="63" t="str">
        <v>https://arxiv.org/abs/2310.08576</v>
      </c>
      <c r="F130" s="61" t="str">
        <v>World model/predictive system</v>
      </c>
      <c r="G130" s="61" t="str">
        <v>Paper</v>
      </c>
      <c r="H130" s="62" t="str">
        <v>Pending</v>
      </c>
      <c r="I130" s="62" t="str"/>
      <c r="J130" s="61" t="str">
        <v>arXiv:2310.08576</v>
      </c>
      <c r="K130" s="61" t="str">
        <v>avdc</v>
      </c>
      <c r="L130" s="61" t="str"/>
      <c r="M130" s="61" t="str">
        <v>Source-checked world-model README catalogue (2026-09-23) and surgical manuscript context; no new quantitative claim.</v>
      </c>
    </row>
    <row r="131" ht="70" customHeight="1">
      <c r="A131" s="60" t="n">
        <v>123</v>
      </c>
      <c r="B131" s="60" t="n">
        <v>2024</v>
      </c>
      <c r="C131" s="61" t="str">
        <v>K. Black, M. Nakamoto, P. Atreya, H. Walke, C. Finn, A. Kumar, and S. Levine, “Zero-shot robotic manipulation with pretrained image-editing diffusion models,” in International Conference on Learning Representations (ICLR), 2024, arXiv:2310.10639.</v>
      </c>
      <c r="D131" s="61" t="str">
        <v>SuSIE adapts an image-editing diffusion model to propose visual subgoals from an observation and language instruction. A goal-conditioned controller executes the proposed subgoals.</v>
      </c>
      <c r="E131" s="63" t="str">
        <v>https://arxiv.org/abs/2310.10639</v>
      </c>
      <c r="F131" s="61" t="str">
        <v>World model/predictive system</v>
      </c>
      <c r="G131" s="61" t="str">
        <v>Paper</v>
      </c>
      <c r="H131" s="62" t="str">
        <v>Pending</v>
      </c>
      <c r="I131" s="62" t="str"/>
      <c r="J131" s="61" t="str">
        <v>arXiv:2310.10639</v>
      </c>
      <c r="K131" s="61" t="str">
        <v>susie</v>
      </c>
      <c r="L131" s="61" t="str"/>
      <c r="M131" s="61" t="str">
        <v>Source-checked world-model README catalogue (2026-09-23) and surgical manuscript context; no new quantitative claim.</v>
      </c>
    </row>
    <row r="132" ht="70" customHeight="1">
      <c r="A132" s="60" t="n">
        <v>124</v>
      </c>
      <c r="B132" s="60" t="n">
        <v>2024</v>
      </c>
      <c r="C132" s="61" t="str">
        <v>Y. Du, S. Yang, P. Florence, F. Xia, A. Wahid, B. Ichter, P. Sermanet, T. Yu, P. Abbeel, J. B. Tenenbaum, L. Kaelbling, A. Zeng, and J. Tompson, “Video language planning,” in International Conference on Learning Representations (ICLR), 2024, arXiv:2310.10625.</v>
      </c>
      <c r="D132" s="61" t="str">
        <v>Video Language Planning searches over language proposals and generated video continuations using vision-language policies and value functions. A goal-conditioned policy executes the resulting visual plan.</v>
      </c>
      <c r="E132" s="63" t="str">
        <v>https://arxiv.org/abs/2310.10625</v>
      </c>
      <c r="F132" s="61" t="str">
        <v>World model/predictive system</v>
      </c>
      <c r="G132" s="61" t="str">
        <v>Paper</v>
      </c>
      <c r="H132" s="62" t="str">
        <v>Pending</v>
      </c>
      <c r="I132" s="62" t="str"/>
      <c r="J132" s="61" t="str">
        <v>arXiv:2310.10625</v>
      </c>
      <c r="K132" s="61" t="str">
        <v>vlp</v>
      </c>
      <c r="L132" s="61" t="str"/>
      <c r="M132" s="61" t="str">
        <v>Source-checked world-model README catalogue (2026-09-23) and surgical manuscript context; no new quantitative claim.</v>
      </c>
    </row>
    <row r="133" ht="62" customHeight="1">
      <c r="A133" s="60" t="n">
        <v>125</v>
      </c>
      <c r="B133" s="60" t="n">
        <v>2024</v>
      </c>
      <c r="C133" s="61" t="str">
        <v>J. Wu, S. Yin, N. Feng, X. He, D. Li, J. Hao, and M. Long, “iVideoGPT: Interactive VideoGPTs are scalable world models,” in Advances in Neural Information Processing Systems (NeurIPS), 2024, arXiv:2405.15223. [Online]. Available:</v>
      </c>
      <c r="D133" s="61" t="str">
        <v>iVideoGPT autoregressively models tokenized observations, actions, and rewards. Its learned dynamics support interactive video prediction, visual planning, and model-based reinforcement learning.</v>
      </c>
      <c r="E133" s="63" t="str">
        <v>https://arxiv.org/abs/2405.15223</v>
      </c>
      <c r="F133" s="61" t="str">
        <v>World model/predictive system</v>
      </c>
      <c r="G133" s="61" t="str">
        <v>Paper</v>
      </c>
      <c r="H133" s="62" t="str">
        <v>Pending</v>
      </c>
      <c r="I133" s="62" t="str"/>
      <c r="J133" s="61" t="str">
        <v>arXiv:2405.15223</v>
      </c>
      <c r="K133" s="61" t="str">
        <v>ivideogpt</v>
      </c>
      <c r="L133" s="61" t="str"/>
      <c r="M133" s="61" t="str">
        <v>Source-checked world-model README catalogue (2026-09-23) and surgical manuscript context; no new quantitative claim.</v>
      </c>
    </row>
    <row r="134" ht="70" customHeight="1">
      <c r="A134" s="60" t="n">
        <v>126</v>
      </c>
      <c r="B134" s="60" t="n">
        <v>2024</v>
      </c>
      <c r="C134" s="61" t="str">
        <v>H. Wu, Y. Jing, C. Cheang, G. Chen, J. Xu, X. Li, M. Liu, H. Li, and T. Kong, “Unleashing large-scale video generative pre-training for visual robot manipulation,” in Proc. Int. Conf. Learn. Representations (ICLR), 2024, arXiv:2312.13139.</v>
      </c>
      <c r="D134" s="61" t="str">
        <v>GR-1 predicts future images and robot actions from language, visual history, and robot state after video pretraining. This shared predictive-policy training is distinct from searching over supplied candidate actions during deployment.</v>
      </c>
      <c r="E134" s="63" t="str">
        <v>https://arxiv.org/abs/2312.13139</v>
      </c>
      <c r="F134" s="61" t="str">
        <v>VLA/action policy</v>
      </c>
      <c r="G134" s="61" t="str">
        <v>Paper</v>
      </c>
      <c r="H134" s="62" t="str">
        <v>Pending</v>
      </c>
      <c r="I134" s="62" t="str"/>
      <c r="J134" s="61" t="str">
        <v>arXiv:2312.13139</v>
      </c>
      <c r="K134" s="61" t="str">
        <v>gr1</v>
      </c>
      <c r="L134" s="61" t="str"/>
      <c r="M134" s="61" t="str">
        <v>Source-checked world-model README catalogue (2026-09-23) and surgical manuscript context; no new quantitative claim.</v>
      </c>
    </row>
    <row r="135" ht="70" customHeight="1">
      <c r="A135" s="60" t="n">
        <v>127</v>
      </c>
      <c r="B135" s="60" t="n">
        <v>2024</v>
      </c>
      <c r="C135" s="61" t="str">
        <v>J. Bruce, M. Dennis, A. Edwards, J. Parker-Holder, Y. Shi, E. Hughes, M. Lai, A. Mavalankar, R. Steigerwald, C. Apps et al., “Genie: Generative interactive environments,” in Proc. Int. Conf. Mach. Learn. (ICML), 2024, arXiv:2402.15391.</v>
      </c>
      <c r="D135" s="61" t="str">
        <v>Genie learns latent actions and interactive video dynamics from unlabelled video. Its generated environments respond to controls, providing a precursor for learned interactive simulation.</v>
      </c>
      <c r="E135" s="63" t="str">
        <v>https://arxiv.org/abs/2402.15391</v>
      </c>
      <c r="F135" s="61" t="str">
        <v>World model/predictive system</v>
      </c>
      <c r="G135" s="61" t="str">
        <v>Paper</v>
      </c>
      <c r="H135" s="62" t="str">
        <v>Pending</v>
      </c>
      <c r="I135" s="62" t="str"/>
      <c r="J135" s="61" t="str">
        <v>arXiv:2402.15391</v>
      </c>
      <c r="K135" s="61" t="str">
        <v>genie1</v>
      </c>
      <c r="L135" s="61" t="str"/>
      <c r="M135" s="61" t="str">
        <v>Source-checked world-model README catalogue (2026-09-23) and surgical manuscript context; no new quantitative claim.</v>
      </c>
    </row>
    <row r="136" ht="62" customHeight="1">
      <c r="A136" s="60" t="n">
        <v>128</v>
      </c>
      <c r="B136" s="60" t="n">
        <v>2025</v>
      </c>
      <c r="C136" s="61" t="str">
        <v>Google DeepMind, “Genie 3: A new frontier for world models,” Google DeepMind announcement, 2025.</v>
      </c>
      <c r="D136" s="61" t="str">
        <v>Genie 3 generates interactive visual environments that respond to user controls. The cited research announcement concerns environment generation rather than validated physical robot dynamics.</v>
      </c>
      <c r="E136" s="63" t="str">
        <v>https://deepmind.google/blog/genie-3-a-new-frontier-for-world-models/</v>
      </c>
      <c r="F136" s="61" t="str">
        <v>Vendor technical release</v>
      </c>
      <c r="G136" s="61" t="str">
        <v>Technical release / software</v>
      </c>
      <c r="H136" s="62" t="str">
        <v>Pending</v>
      </c>
      <c r="I136" s="62" t="str"/>
      <c r="J136" s="61" t="str">
        <v>https://deepmind.google/blog/genie-3-a-new-frontier-for-world-models/</v>
      </c>
      <c r="K136" s="61" t="str">
        <v>genie3</v>
      </c>
      <c r="L136" s="61" t="str"/>
      <c r="M136" s="61" t="str">
        <v>Source-checked world-model README catalogue (2026-09-23) and surgical manuscript context; no new quantitative claim.</v>
      </c>
    </row>
    <row r="137" ht="62" customHeight="1">
      <c r="A137" s="60" t="n">
        <v>129</v>
      </c>
      <c r="B137" s="60" t="n">
        <v>2025</v>
      </c>
      <c r="C137" s="61" t="str">
        <v>Liao et al., “Genie envisioner: A unified world foundation platform for robotic manipulation,” arXiv preprint, 2025, arXiv:2508.05635.</v>
      </c>
      <c r="D137" s="61" t="str">
        <v>Genie Envisioner connects instruction-conditioned video modeling, action generation, and learned simulation within one platform. Its GE-Base, GE-Act, and GE-Sim components serve different predictive and control roles.</v>
      </c>
      <c r="E137" s="63" t="str">
        <v>https://arxiv.org/abs/2508.05635</v>
      </c>
      <c r="F137" s="61" t="str">
        <v>World model/predictive system</v>
      </c>
      <c r="G137" s="61" t="str">
        <v>Paper</v>
      </c>
      <c r="H137" s="62" t="str">
        <v>Pending</v>
      </c>
      <c r="I137" s="62" t="str"/>
      <c r="J137" s="61" t="str">
        <v>arXiv:2508.05635</v>
      </c>
      <c r="K137" s="61" t="str">
        <v>genieenvisioner</v>
      </c>
      <c r="L137" s="61" t="str"/>
      <c r="M137" s="61" t="str">
        <v>Source-checked world-model README catalogue (2026-09-23) and surgical manuscript context; no new quantitative claim.</v>
      </c>
    </row>
    <row r="138" ht="70" customHeight="1">
      <c r="A138" s="60" t="n">
        <v>130</v>
      </c>
      <c r="B138" s="60" t="n">
        <v>2023</v>
      </c>
      <c r="C138" s="61" t="str">
        <v>M. Assran, Q. Duval, I. Misra, P. Bojanowski, P. Vincent, M. Rabbat, Y. LeCun, and N. Ballas, “Self-supervised learning from images with a joint-embedding predictive architecture,” in Proc. IEEE/CVF Conf. Comput. Vis. Pattern Recognit. (CVPR), 2023.</v>
      </c>
      <c r="D138" s="61" t="str">
        <v>I-JEPA learns image representations by predicting target-region embeddings from visible context. It is a representation-learning precursor rather than a temporal, action-conditioned robot dynamics model.</v>
      </c>
      <c r="E138" s="63" t="str">
        <v>https://arxiv.org/abs/2301.08243</v>
      </c>
      <c r="F138" s="61" t="str">
        <v>World model/predictive system</v>
      </c>
      <c r="G138" s="61" t="str">
        <v>Paper</v>
      </c>
      <c r="H138" s="62" t="str">
        <v>Pending</v>
      </c>
      <c r="I138" s="62" t="str"/>
      <c r="J138" s="61" t="str">
        <v>arXiv:2301.08243</v>
      </c>
      <c r="K138" s="61" t="str">
        <v>ijepa</v>
      </c>
      <c r="L138" s="61" t="str"/>
      <c r="M138" s="61" t="str">
        <v>Source-checked world-model README catalogue (2026-09-23) and surgical manuscript context; no new quantitative claim.</v>
      </c>
    </row>
    <row r="139" ht="62" customHeight="1">
      <c r="A139" s="60" t="n">
        <v>131</v>
      </c>
      <c r="B139" s="60" t="n">
        <v>2024</v>
      </c>
      <c r="C139" s="61" t="str">
        <v>A. Bardes, Q. Garrido, J. Ponce, X. Chen, M. Rabbat, Y. LeCun, M. Assran, and N. Ballas, “Revisiting feature prediction for learning visual representations from video,” Trans. Mach. Learn. Res. (TMLR), 2024.</v>
      </c>
      <c r="D139" s="61" t="str">
        <v>V-JEPA learns video representations by predicting masked spatiotemporal features. Its action-free pretraining provides predictive representations without directly defining a robot-action-conditioned forward model.</v>
      </c>
      <c r="E139" s="63" t="str">
        <v>https://arxiv.org/abs/2404.08471</v>
      </c>
      <c r="F139" s="61" t="str">
        <v>World model/predictive system</v>
      </c>
      <c r="G139" s="61" t="str">
        <v>Paper</v>
      </c>
      <c r="H139" s="62" t="str">
        <v>Pending</v>
      </c>
      <c r="I139" s="62" t="str"/>
      <c r="J139" s="61" t="str">
        <v>arXiv:2404.08471</v>
      </c>
      <c r="K139" s="61" t="str">
        <v>vjepa</v>
      </c>
      <c r="L139" s="61" t="str"/>
      <c r="M139" s="61" t="str">
        <v>Source-checked world-model README catalogue (2026-09-23) and surgical manuscript context; no new quantitative claim.</v>
      </c>
    </row>
    <row r="140" ht="62" customHeight="1">
      <c r="A140" s="60" t="n">
        <v>132</v>
      </c>
      <c r="B140" s="60" t="n">
        <v>2024</v>
      </c>
      <c r="C140" s="61" t="str">
        <v>G. Zhou, H. Pan, Y. LeCun, and L. Pinto, “DINO-WM: World models on pre-trained visual features enable zero-shot planning,” arXiv preprint, 2024, arXiv:2411.04983.</v>
      </c>
      <c r="D140" s="61" t="str">
        <v>DINO-WM learns action-conditioned transitions over pretrained DINO image features. It plans toward visual goals in feature space without reconstructing future images.</v>
      </c>
      <c r="E140" s="63" t="str">
        <v>https://arxiv.org/abs/2411.04983</v>
      </c>
      <c r="F140" s="61" t="str">
        <v>World model/predictive system</v>
      </c>
      <c r="G140" s="61" t="str">
        <v>Paper</v>
      </c>
      <c r="H140" s="62" t="str">
        <v>Pending</v>
      </c>
      <c r="I140" s="62" t="str"/>
      <c r="J140" s="61" t="str">
        <v>arXiv:2411.04983</v>
      </c>
      <c r="K140" s="61" t="str">
        <v>dinowm</v>
      </c>
      <c r="L140" s="61" t="str"/>
      <c r="M140" s="61" t="str">
        <v>Source-checked world-model README catalogue (2026-09-23) and surgical manuscript context; no new quantitative claim.</v>
      </c>
    </row>
    <row r="141" ht="62" customHeight="1">
      <c r="A141" s="60" t="n">
        <v>133</v>
      </c>
      <c r="B141" s="60" t="n">
        <v>2026</v>
      </c>
      <c r="C141" s="61" t="str">
        <v>J. Chen, K. Wang, K. Chen, S. Chen, F. Gao, W. Tang, Z. Li, W. Liu, Z. Yao, B. Li, Y. Xu, and C. Yu, “LaWAM: Latent world action models for efficient dynamics-aware robot policies,” arXiv preprint, 2026, arXiv:2606.15768.</v>
      </c>
      <c r="D141" s="61" t="str">
        <v>LaWAM predicts latent visual subgoals and conditions robot-action generation on them. It incorporates predictive information into a policy without requiring dense future-image generation.</v>
      </c>
      <c r="E141" s="63" t="str">
        <v>https://arxiv.org/abs/2606.15768</v>
      </c>
      <c r="F141" s="61" t="str">
        <v>World model/predictive system</v>
      </c>
      <c r="G141" s="61" t="str">
        <v>Paper</v>
      </c>
      <c r="H141" s="62" t="str">
        <v>Pending</v>
      </c>
      <c r="I141" s="62" t="str"/>
      <c r="J141" s="61" t="str">
        <v>arXiv:2606.15768</v>
      </c>
      <c r="K141" s="61" t="str">
        <v>lawam</v>
      </c>
      <c r="L141" s="61" t="str"/>
      <c r="M141" s="61" t="str">
        <v>Source-checked world-model README catalogue (2026-09-23) and surgical manuscript context; no new quantitative claim.</v>
      </c>
    </row>
    <row r="142" ht="62" customHeight="1">
      <c r="A142" s="60" t="n">
        <v>134</v>
      </c>
      <c r="B142" s="60" t="n">
        <v>2026</v>
      </c>
      <c r="C142" s="61" t="str">
        <v>J. Sun, W. Zhang, Z. Qi, S. Ren, Z. Liu, H. Zhu, G. Sun, X. Jin, and Z. Chen, “VLA-JEPA: Enhancing vision-language-action model with latent world model,” arXiv preprint, 2026, arXiv:2602.10098.</v>
      </c>
      <c r="D142" s="61" t="str">
        <v>VLA-JEPA pretrains a policy backbone to predict future latent states from current observations. It subsequently adapts an action head, with future frames serving as training targets rather than inputs to the prediction pathway.</v>
      </c>
      <c r="E142" s="63" t="str">
        <v>https://arxiv.org/abs/2602.10098</v>
      </c>
      <c r="F142" s="61" t="str">
        <v>World model/predictive system</v>
      </c>
      <c r="G142" s="61" t="str">
        <v>Paper</v>
      </c>
      <c r="H142" s="62" t="str">
        <v>Pending</v>
      </c>
      <c r="I142" s="62" t="str"/>
      <c r="J142" s="61" t="str">
        <v>arXiv:2602.10098</v>
      </c>
      <c r="K142" s="61" t="str">
        <v>jepavla</v>
      </c>
      <c r="L142" s="61" t="str">
        <v>Citation key aliases VLA-JEPA, not a separate JEPA-VLA report.</v>
      </c>
      <c r="M142" s="61" t="str">
        <v>Source-checked world-model README catalogue (2026-09-23) and surgical manuscript context; no new quantitative claim.</v>
      </c>
    </row>
    <row r="143" ht="62" customHeight="1">
      <c r="A143" s="60" t="n">
        <v>135</v>
      </c>
      <c r="B143" s="60" t="n">
        <v>2025</v>
      </c>
      <c r="C143" s="61" t="str">
        <v>H. Zhen, Q. Sun, H. Zhang, J. Li, S. Zhou, Y. Du, and C. Gan, “TesserAct: Learning 4D embodied world models,” arXiv preprint, 2025, arXiv:2504.20995.</v>
      </c>
      <c r="D143" s="61" t="str">
        <v>TesserAct predicts RGB, depth, and surface-normal video to represent how three-dimensional scenes evolve. Its multimodal predictions also support learning inverse dynamics for embodied tasks.</v>
      </c>
      <c r="E143" s="63" t="str">
        <v>https://arxiv.org/abs/2504.20995</v>
      </c>
      <c r="F143" s="61" t="str">
        <v>World model/predictive system</v>
      </c>
      <c r="G143" s="61" t="str">
        <v>Paper</v>
      </c>
      <c r="H143" s="62" t="str">
        <v>Pending</v>
      </c>
      <c r="I143" s="62" t="str"/>
      <c r="J143" s="61" t="str">
        <v>arXiv:2504.20995</v>
      </c>
      <c r="K143" s="61" t="str">
        <v>tesseract</v>
      </c>
      <c r="L143" s="61" t="str"/>
      <c r="M143" s="61" t="str">
        <v>Source-checked world-model README catalogue (2026-09-23) and surgical manuscript context; no new quantitative claim.</v>
      </c>
    </row>
    <row r="144" ht="62" customHeight="1">
      <c r="A144" s="60" t="n">
        <v>136</v>
      </c>
      <c r="B144" s="60" t="n">
        <v>2025</v>
      </c>
      <c r="C144" s="61" t="str">
        <v>G. Lu, B. Jia, P. Li, Y. Chen, Z. Wang, Y. Tang, and S. Huang, “GWM: Towards scalable gaussian world models for robotic manipulation,” in IEEE/CVF International Conference on Computer Vision (ICCV), pp. 9263–9274, 2025.</v>
      </c>
      <c r="D144" s="61" t="str">
        <v>GWM models action-conditioned manipulation dynamics using Gaussian scene representations. The paper studies this representation for predictive pretraining and learned simulation.</v>
      </c>
      <c r="E144" s="63" t="str">
        <v>https://arxiv.org/abs/2508.17600</v>
      </c>
      <c r="F144" s="61" t="str">
        <v>World model/predictive system</v>
      </c>
      <c r="G144" s="61" t="str">
        <v>Paper</v>
      </c>
      <c r="H144" s="62" t="str">
        <v>Pending</v>
      </c>
      <c r="I144" s="62" t="str"/>
      <c r="J144" s="61" t="str">
        <v>arXiv:2508.17600</v>
      </c>
      <c r="K144" s="61" t="str">
        <v>gaussianworld</v>
      </c>
      <c r="L144" s="61" t="str"/>
      <c r="M144" s="61" t="str">
        <v>Source-checked world-model README catalogue (2026-09-23) and surgical manuscript context; no new quantitative claim.</v>
      </c>
    </row>
    <row r="145" ht="62" customHeight="1">
      <c r="A145" s="60" t="n">
        <v>137</v>
      </c>
      <c r="B145" s="60" t="n">
        <v>2024</v>
      </c>
      <c r="C145" s="61" t="str">
        <v>G. Lu, S. Zhang, Z. Wang, C. Liu, J. Lu, and Y. Tang, “ManiGaussian: Dynamic gaussian splatting for multi-task robotic manipulation,” in European Conference on Computer Vision (ECCV), 2024, arXiv:2403.08321. [Online]. Available:</v>
      </c>
      <c r="D145" s="61" t="str">
        <v>ManiGaussian uses dynamic Gaussian representations and future-scene reconstruction as predictive supervision for manipulation. Its language-conditioned policy evaluation is conducted in RLBench simulation.</v>
      </c>
      <c r="E145" s="63" t="str">
        <v>https://arxiv.org/abs/2403.08321</v>
      </c>
      <c r="F145" s="61" t="str">
        <v>World model/predictive system</v>
      </c>
      <c r="G145" s="61" t="str">
        <v>Paper</v>
      </c>
      <c r="H145" s="62" t="str">
        <v>Pending</v>
      </c>
      <c r="I145" s="62" t="str"/>
      <c r="J145" s="61" t="str">
        <v>arXiv:2403.08321</v>
      </c>
      <c r="K145" s="61" t="str">
        <v>manigaussian</v>
      </c>
      <c r="L145" s="61" t="str"/>
      <c r="M145" s="61" t="str">
        <v>Source-checked world-model README catalogue (2026-09-23) and surgical manuscript context; no new quantitative claim.</v>
      </c>
    </row>
    <row r="146" ht="70" customHeight="1">
      <c r="A146" s="60" t="n">
        <v>138</v>
      </c>
      <c r="B146" s="60" t="n">
        <v>2024</v>
      </c>
      <c r="C146" s="61" t="str">
        <v>T. Zhang, H.-X. Yu, R. Wu, B. Y. Feng, C. Zheng, N. Snavely, J. Wu, and W. T. Freeman, “PhysDreamer: Physics-based interaction with 3D objects via video generation,” in European Conference on Computer Vision (ECCV), 2024, arXiv:2404.13026.</v>
      </c>
      <c r="D146" s="61" t="str">
        <v>PhysDreamer distills motion information from video generation into physical material estimates and interactive three-dimensional dynamics. Its object-response demonstrations provide context for physical prediction rather than direct evidence of robot task success.</v>
      </c>
      <c r="E146" s="63" t="str">
        <v>https://arxiv.org/abs/2404.13026</v>
      </c>
      <c r="F146" s="61" t="str">
        <v>World model/predictive system</v>
      </c>
      <c r="G146" s="61" t="str">
        <v>Paper</v>
      </c>
      <c r="H146" s="62" t="str">
        <v>Pending</v>
      </c>
      <c r="I146" s="62" t="str"/>
      <c r="J146" s="61" t="str">
        <v>arXiv:2404.13026</v>
      </c>
      <c r="K146" s="61" t="str">
        <v>physdreamer</v>
      </c>
      <c r="L146" s="61" t="str"/>
      <c r="M146" s="61" t="str">
        <v>Source-checked world-model README catalogue (2026-09-23) and surgical manuscript context; no new quantitative claim.</v>
      </c>
    </row>
    <row r="147" ht="70" customHeight="1">
      <c r="A147" s="60" t="n">
        <v>139</v>
      </c>
      <c r="B147" s="60" t="n">
        <v>2026</v>
      </c>
      <c r="C147" s="61" t="str">
        <v>S. Wu et al., “Tactile-W AM: Touch-aware world action model with tactile asymmetric attention,” arXiv preprint, 2026, arXiv:2606.26663.</v>
      </c>
      <c r="D147" s="61" t="str">
        <v>Tactile-WAM jointly models visual, tactile, and action information with tactile asymmetric attention. It directs contact information toward action prediction while limiting interference with video generation.</v>
      </c>
      <c r="E147" s="63" t="str">
        <v>https://arxiv.org/abs/2606.26663</v>
      </c>
      <c r="F147" s="61" t="str">
        <v>World model/predictive system</v>
      </c>
      <c r="G147" s="61" t="str">
        <v>Paper</v>
      </c>
      <c r="H147" s="62" t="str">
        <v>Pending</v>
      </c>
      <c r="I147" s="62" t="str"/>
      <c r="J147" s="61" t="str">
        <v>arXiv:2606.26663</v>
      </c>
      <c r="K147" s="61" t="str">
        <v>dreamtac</v>
      </c>
      <c r="L147" s="61" t="str">
        <v>Citation key is an alias for Tactile-WAM; not an additional DreamTac report. Recovered title has a spacing error.</v>
      </c>
      <c r="M147" s="61" t="str">
        <v>Source-checked world-model README catalogue (2026-09-23) and surgical manuscript context; no new quantitative claim. The legacy bib_key dreamtac resolves to Tactile-WAM, not a separate DreamTac model.</v>
      </c>
    </row>
    <row r="148" ht="62" customHeight="1">
      <c r="A148" s="60" t="n">
        <v>140</v>
      </c>
      <c r="B148" s="60" t="n">
        <v>2026</v>
      </c>
      <c r="C148" s="61" t="str">
        <v>J. Zhou, F. Hong, Y. Li, Y. Zhao, Y. Cen, Z. Liu, J. Huang, Z. Chen, R. Zhang, W. Zhu et al., “TouchWorld: A predictive and reactive tactile foundation model for dexterous manipulation,” arXiv preprint, 2026, arXiv:2607.07287.</v>
      </c>
      <c r="D148" s="61" t="str">
        <v>TouchWorld combines predicted tactile subgoals and visuomotor action chunks with a faster tactile and proprioceptive correction policy. This joins predictive and reactive control for contact-rich dexterous manipulation.</v>
      </c>
      <c r="E148" s="63" t="str">
        <v>https://arxiv.org/abs/2607.07287</v>
      </c>
      <c r="F148" s="61" t="str">
        <v>World model/predictive system</v>
      </c>
      <c r="G148" s="61" t="str">
        <v>Paper</v>
      </c>
      <c r="H148" s="62" t="str">
        <v>Pending</v>
      </c>
      <c r="I148" s="62" t="str"/>
      <c r="J148" s="61" t="str">
        <v>arXiv:2607.07287</v>
      </c>
      <c r="K148" s="61" t="str">
        <v>touchworld</v>
      </c>
      <c r="L148" s="61" t="str"/>
      <c r="M148" s="61" t="str">
        <v>Source-checked world-model README catalogue (2026-09-23) and surgical manuscript context; no new quantitative claim.</v>
      </c>
    </row>
    <row r="149" ht="70" customHeight="1">
      <c r="A149" s="60" t="n">
        <v>141</v>
      </c>
      <c r="B149" s="60" t="n">
        <v>2023</v>
      </c>
      <c r="C149" s="61" t="str">
        <v>A. Mandlekar, S. Nasiriany, B. Wen, I. Akinola, Y. Narang, L. Fan, Y. Zhu, and D. Fox, “MimicGen: A data generation system for scalable robot learning using human demonstrations,” in Conference on Robot Learning (CoRL), 2023, arXiv:2310.17596.</v>
      </c>
      <c r="D149" s="61" t="str">
        <v>MimicGen transforms and recombines human demonstrations to generate additional robot trajectories in conventional simulation. It is a demonstration-expansion pipeline rather than a learned environment dynamics model.</v>
      </c>
      <c r="E149" s="63" t="str">
        <v>https://arxiv.org/abs/2310.17596</v>
      </c>
      <c r="F149" s="61" t="str">
        <v>Data-generation method</v>
      </c>
      <c r="G149" s="61" t="str">
        <v>Paper</v>
      </c>
      <c r="H149" s="62" t="str">
        <v>Pending</v>
      </c>
      <c r="I149" s="62" t="str"/>
      <c r="J149" s="61" t="str">
        <v>arXiv:2310.17596</v>
      </c>
      <c r="K149" s="61" t="str">
        <v>mimicgen</v>
      </c>
      <c r="L149" s="61" t="str"/>
      <c r="M149" s="61" t="str">
        <v>Source-checked world-model README catalogue (2026-09-23) and surgical manuscript context; no new quantitative claim.</v>
      </c>
    </row>
    <row r="150" ht="70" customHeight="1">
      <c r="A150" s="60" t="n">
        <v>142</v>
      </c>
      <c r="B150" s="60" t="n">
        <v>2025</v>
      </c>
      <c r="C150" s="61" t="str">
        <v>Z. Jiang, Y. Xie, K. Lin, Z. Xu, W. Wan, A. Mandlekar, L. Fan, and Y. Zhu, “DexMimicGen: Automated data generation for bimanual dexterous manipulation via imitation learning,” in IEEE International Conference on Robotics and Automation (ICRA), 2025, arXiv:2410.24185.</v>
      </c>
      <c r="D150" s="61" t="str">
        <v>DexMimicGen extends demonstration-based data generation to bimanual dexterous manipulation in simulation. It handles coordination between manipulators when synthesizing trajectories for imitation learning.</v>
      </c>
      <c r="E150" s="63" t="str">
        <v>https://arxiv.org/abs/2410.24185</v>
      </c>
      <c r="F150" s="61" t="str">
        <v>Data-generation method</v>
      </c>
      <c r="G150" s="61" t="str">
        <v>Paper</v>
      </c>
      <c r="H150" s="62" t="str">
        <v>Pending</v>
      </c>
      <c r="I150" s="62" t="str"/>
      <c r="J150" s="61" t="str">
        <v>arXiv:2410.24185</v>
      </c>
      <c r="K150" s="61" t="str">
        <v>dexmimicgen</v>
      </c>
      <c r="L150" s="61" t="str"/>
      <c r="M150" s="61" t="str">
        <v>Source-checked world-model README catalogue (2026-09-23) and surgical manuscript context; no new quantitative claim.</v>
      </c>
    </row>
    <row r="151" ht="62" customHeight="1">
      <c r="A151" s="60" t="n">
        <v>143</v>
      </c>
      <c r="B151" s="60" t="n">
        <v>2025</v>
      </c>
      <c r="C151" s="61" t="str">
        <v>Y. Li, Y. Zhu, J. Wen, C. Shen, and Y. Xu, “WorldEval: World model as real-world robot policies evaluator,” arXiv preprint, 2025, arXiv:2505.19017.</v>
      </c>
      <c r="D151" s="61" t="str">
        <v>WorldEval adapts video generation to action-following simulation using Policy2Vec. It evaluates robot policies through generated rollouts instead of requiring each evaluation to run on hardware.</v>
      </c>
      <c r="E151" s="63" t="str">
        <v>https://arxiv.org/abs/2505.19017</v>
      </c>
      <c r="F151" s="61" t="str">
        <v>World model/predictive system</v>
      </c>
      <c r="G151" s="61" t="str">
        <v>Paper</v>
      </c>
      <c r="H151" s="62" t="str">
        <v>Pending</v>
      </c>
      <c r="I151" s="62" t="str"/>
      <c r="J151" s="61" t="str">
        <v>arXiv:2505.19017</v>
      </c>
      <c r="K151" s="61" t="str">
        <v>policyeval</v>
      </c>
      <c r="L151" s="61" t="str"/>
      <c r="M151" s="61" t="str">
        <v>Source-checked world-model README catalogue (2026-09-23) and surgical manuscript context; no new quantitative claim.</v>
      </c>
    </row>
    <row r="152" ht="62" customHeight="1">
      <c r="A152" s="60" t="n">
        <v>144</v>
      </c>
      <c r="B152" s="60" t="n">
        <v>2026</v>
      </c>
      <c r="C152" s="61" t="str">
        <v>A. K. Sharma, Y. Sun, N. Lu, Y. Zhang, J. Liu, and S. Yang, “WorldGymnast: Training robots with reinforcement learning in a world model,” arXiv preprint, 2026, arXiv:2602.02454.</v>
      </c>
      <c r="D152" s="61" t="str">
        <v>World-Gymnast trains robot policies with reinforcement learning inside a learned environment and tests transfer to hardware. Its physical-task comparisons provide evidence about the complete training-and-simulation package rather than isolating every component.</v>
      </c>
      <c r="E152" s="63" t="str">
        <v>https://arxiv.org/abs/2602.02454</v>
      </c>
      <c r="F152" s="61" t="str">
        <v>World model/predictive system</v>
      </c>
      <c r="G152" s="61" t="str">
        <v>Paper</v>
      </c>
      <c r="H152" s="62" t="str">
        <v>Pending</v>
      </c>
      <c r="I152" s="62" t="str"/>
      <c r="J152" s="61" t="str">
        <v>arXiv:2602.02454</v>
      </c>
      <c r="K152" s="61" t="str">
        <v>sharma2026worldgymnast</v>
      </c>
      <c r="L152" s="61" t="str"/>
      <c r="M152" s="61" t="str">
        <v>Source-checked world-model README catalogue (2026-09-23) and surgical manuscript context; no new quantitative claim.</v>
      </c>
    </row>
    <row r="153" ht="62" customHeight="1">
      <c r="A153" s="60" t="n">
        <v>145</v>
      </c>
      <c r="B153" s="60" t="n">
        <v>2025</v>
      </c>
      <c r="C153" s="61" t="str">
        <v>R. Zheng, J. Wang, S. Reed, J. Bjorck, Y. Fang, F. Hu, J. Jang, K. Kundalia, Z. Lin, L. Magne et al., “FLARE: Robot learning with implicit world modeling,” in Proc. Conf. Robot Learn. (CoRL), 2025, arXiv:2505.15659.</v>
      </c>
      <c r="D153" s="61" t="str">
        <v>FLARE aligns policy features with embeddings of future observations to incorporate latent prediction into diffusion-based action learning. It also supports co-training with action-free video and is distinct from the reinforcement-learning method FLaRe.</v>
      </c>
      <c r="E153" s="63" t="str">
        <v>https://arxiv.org/abs/2505.15659</v>
      </c>
      <c r="F153" s="61" t="str">
        <v>World model/predictive system</v>
      </c>
      <c r="G153" s="61" t="str">
        <v>Paper</v>
      </c>
      <c r="H153" s="62" t="str">
        <v>Pending</v>
      </c>
      <c r="I153" s="62" t="str"/>
      <c r="J153" s="61" t="str">
        <v>arXiv:2505.15659</v>
      </c>
      <c r="K153" s="61" t="str">
        <v>flarewm</v>
      </c>
      <c r="L153" s="61" t="str">
        <v>FLARE predictive alignment paper is distinct from FLaRe RL fine-tuning (flarerl).</v>
      </c>
      <c r="M153" s="61" t="str">
        <v>Source-checked world-model README catalogue (2026-09-23) and surgical manuscript context; no new quantitative claim.</v>
      </c>
    </row>
    <row r="154" ht="62" customHeight="1">
      <c r="A154" s="60" t="n">
        <v>146</v>
      </c>
      <c r="B154" s="60" t="n">
        <v>2025</v>
      </c>
      <c r="C154" s="61" t="str">
        <v>Zhang et al., “DreamVLA: A vision-language-action model dreamed with comprehensive world knowledge,” arXiv preprint, 2025, arXiv:2507.04447.</v>
      </c>
      <c r="D154" s="61" t="str">
        <v>DreamVLA forecasts compact dynamic, spatial, and semantic representations. A diffusion-based action generator conditions its manipulation commands on this predicted world information.</v>
      </c>
      <c r="E154" s="63" t="str">
        <v>https://arxiv.org/abs/2507.04447</v>
      </c>
      <c r="F154" s="61" t="str">
        <v>World model/predictive system</v>
      </c>
      <c r="G154" s="61" t="str">
        <v>Paper</v>
      </c>
      <c r="H154" s="62" t="str">
        <v>Pending</v>
      </c>
      <c r="I154" s="62" t="str"/>
      <c r="J154" s="61" t="str">
        <v>arXiv:2507.04447</v>
      </c>
      <c r="K154" s="61" t="str">
        <v>dreamvla</v>
      </c>
      <c r="L154" s="61" t="str"/>
      <c r="M154" s="61" t="str">
        <v>Source-checked world-model README catalogue (2026-09-23) and surgical manuscript context; no new quantitative claim.</v>
      </c>
    </row>
    <row r="155" ht="62" customHeight="1">
      <c r="A155" s="60" t="n">
        <v>147</v>
      </c>
      <c r="B155" s="60" t="n">
        <v>2026</v>
      </c>
      <c r="C155" s="61" t="str">
        <v>M. Han et al., “Beyond dense futures: World models as structured planners for robotic manipulation,” arXiv preprint, 2026, arXiv:2603.12553.</v>
      </c>
      <c r="D155" s="61" t="str">
        <v>StructVLA first trains a generative model to predict sparse visual milestones from instructions and observation history. A second training stage adapts that model to action-token prediction conditioned on instructions and interleaved observation–action history.</v>
      </c>
      <c r="E155" s="63" t="str">
        <v>https://arxiv.org/abs/2603.12553</v>
      </c>
      <c r="F155" s="61" t="str">
        <v>World model/predictive system</v>
      </c>
      <c r="G155" s="61" t="str">
        <v>Paper</v>
      </c>
      <c r="H155" s="62" t="str">
        <v>Pending</v>
      </c>
      <c r="I155" s="62" t="str"/>
      <c r="J155" s="61" t="str">
        <v>arXiv:2603.12553</v>
      </c>
      <c r="K155" s="61" t="str">
        <v>structvla</v>
      </c>
      <c r="L155" s="61" t="str"/>
      <c r="M155" s="61" t="str">
        <v>Source-checked world-model README catalogue (2026-09-23) and surgical manuscript context; no new quantitative claim.</v>
      </c>
    </row>
    <row r="156" ht="62" customHeight="1">
      <c r="A156" s="60" t="n">
        <v>148</v>
      </c>
      <c r="B156" s="60" t="n">
        <v>2025</v>
      </c>
      <c r="C156" s="61" t="str">
        <v>U. Robotics, “UnifoLM-WMA-0: An open-source world-modelaction architecture for humanoid robots,” Unitree open-source release, 2025.</v>
      </c>
      <c r="D156" s="61" t="str">
        <v>UnifoLM-WMA-0 is Unitree's released framework connecting predictive video dynamics with policy enhancement and learned simulation. The cited source is an official technical release rather than a separately identified peer-reviewed paper.</v>
      </c>
      <c r="E156" s="63" t="str">
        <v>https://github.com/unitreerobotics/unifolm-world-model-action</v>
      </c>
      <c r="F156" s="61" t="str">
        <v>Vendor technical release</v>
      </c>
      <c r="G156" s="61" t="str">
        <v>Technical release / software</v>
      </c>
      <c r="H156" s="62" t="str">
        <v>Pending</v>
      </c>
      <c r="I156" s="62" t="str"/>
      <c r="J156" s="61" t="str">
        <v>https://github.com/unitreerobotics/unifolm-world-model-action</v>
      </c>
      <c r="K156" s="61" t="str">
        <v>unifolm</v>
      </c>
      <c r="L156" s="61" t="str">
        <v>Cited Unitree software/model release; no formal paper identified in current citation.</v>
      </c>
      <c r="M156" s="61" t="str">
        <v>Source-checked world-model README catalogue (2026-09-23) and surgical manuscript context; no new quantitative claim.</v>
      </c>
    </row>
    <row r="157" ht="62" customHeight="1">
      <c r="A157" s="60" t="n">
        <v>149</v>
      </c>
      <c r="B157" s="60" t="n">
        <v>2026</v>
      </c>
      <c r="C157" s="61" t="str">
        <v>Q. Feng, J. Yu, J. Liu, Y. Jia, Z. Wu, H. Chen, Z. Qian, S. Gu, P. Jia, S. Ma et al., “HarmoWAM: Harmonizing generalizable and precise manipulation via adaptive world action models,” arXiv preprint, 2026, arXiv:2605.10942.</v>
      </c>
      <c r="D157" s="61" t="str">
        <v>HarmoWAM combines predictive and reactive action experts through adaptive gating. This architecture aims to balance generalization with precise manipulation control.</v>
      </c>
      <c r="E157" s="63" t="str">
        <v>https://arxiv.org/abs/2605.10942</v>
      </c>
      <c r="F157" s="61" t="str">
        <v>World model/predictive system</v>
      </c>
      <c r="G157" s="61" t="str">
        <v>Paper</v>
      </c>
      <c r="H157" s="62" t="str">
        <v>Pending</v>
      </c>
      <c r="I157" s="62" t="str"/>
      <c r="J157" s="61" t="str">
        <v>arXiv:2605.10942</v>
      </c>
      <c r="K157" s="61" t="str">
        <v>harmowam</v>
      </c>
      <c r="L157" s="61" t="str"/>
      <c r="M157" s="61" t="str">
        <v>Source-checked world-model README catalogue (2026-09-23) and surgical manuscript context; no new quantitative claim.</v>
      </c>
    </row>
    <row r="158" ht="70" customHeight="1">
      <c r="A158" s="60" t="n">
        <v>150</v>
      </c>
      <c r="B158" s="60" t="n">
        <v>2023</v>
      </c>
      <c r="C158" s="61" t="str">
        <v>B. Liu, Y. Zhu, C. Gao, Y. Feng, Q. Liu, Y. Zhu, and P. Stone, “LIBERO: Benchmarking knowledge transfer for lifelong robot learning,” in Adv. Neural Inf. Process. Syst. (NeurIPS) Datasets and Benchmarks Track, 2023, arXiv:2306.03310.</v>
      </c>
      <c r="D158" s="61" t="str">
        <v>LIBERO provides simulated manipulation tasks and demonstrations for studying knowledge transfer in lifelong robot learning. Its task suites examine different transfer settings, policy designs, and effects of sequential learning.</v>
      </c>
      <c r="E158" s="63" t="str">
        <v>https://arxiv.org/abs/2306.03310</v>
      </c>
      <c r="F158" s="61" t="str">
        <v>Dataset/benchmark</v>
      </c>
      <c r="G158" s="61" t="str">
        <v>Paper</v>
      </c>
      <c r="H158" s="62" t="str">
        <v>Pending</v>
      </c>
      <c r="I158" s="62" t="str"/>
      <c r="J158" s="61" t="str">
        <v>arXiv:2306.03310</v>
      </c>
      <c r="K158" s="61" t="str">
        <v>liu2023libero</v>
      </c>
      <c r="L158" s="61" t="str"/>
      <c r="M158" s="61" t="str">
        <v>Primary-source abstract or official release checked online on 2026-09-24; manuscript context used to identify the cited role.</v>
      </c>
    </row>
    <row r="159" ht="70" customHeight="1">
      <c r="A159" s="60" t="n">
        <v>151</v>
      </c>
      <c r="B159" s="60" t="n">
        <v>2022</v>
      </c>
      <c r="C159" s="61" t="str">
        <v>O. Mees, L. Hermann, E. Rosete-Beas, and W. Burgard, “CALVIN: A benchmark for language-conditioned policy learning for long-horizon robot manipulation tasks,” IEEE Robot. Autom. Lett., vol. 7, no. 3, pp. 7327–7334, 2022, arXiv:2112.03227.</v>
      </c>
      <c r="D159" s="61" t="str">
        <v>CALVIN evaluates language-conditioned policies on sequences of manipulation tasks in simulation. It emphasizes long-horizon execution and transfer to unfamiliar instructions, objects, and environments.</v>
      </c>
      <c r="E159" s="63" t="str">
        <v>https://arxiv.org/abs/2112.03227</v>
      </c>
      <c r="F159" s="61" t="str">
        <v>Dataset/benchmark</v>
      </c>
      <c r="G159" s="61" t="str">
        <v>Paper</v>
      </c>
      <c r="H159" s="62" t="str">
        <v>Pending</v>
      </c>
      <c r="I159" s="62" t="str"/>
      <c r="J159" s="61" t="str">
        <v>arXiv:2112.03227</v>
      </c>
      <c r="K159" s="61" t="str">
        <v>calvin</v>
      </c>
      <c r="L159" s="61" t="str"/>
      <c r="M159" s="61" t="str">
        <v>Primary-source abstract or official release checked online on 2026-09-24; manuscript context used to identify the cited role.</v>
      </c>
    </row>
    <row r="160" ht="62" customHeight="1">
      <c r="A160" s="60" t="n">
        <v>152</v>
      </c>
      <c r="B160" s="60" t="n">
        <v>2020</v>
      </c>
      <c r="C160" s="61" t="str">
        <v>S. James, Z. Ma, D. R. Arrojo, and A. J. Davison, “RLBench: The robot learning benchmark &amp; learning environment,” IEEE Robot. Autom. Lett., vol. 5, no. 2, pp. 3019–3026, 2020.</v>
      </c>
      <c r="D160" s="61" t="str">
        <v>RLBench provides diverse simulated manipulation tasks, visual and proprioceptive observations, and motion-planned demonstrations. It supports research on imitation, reinforcement, multi-task, and few-shot robot learning.</v>
      </c>
      <c r="E160" s="63" t="str">
        <v>https://arxiv.org/abs/1909.12271</v>
      </c>
      <c r="F160" s="61" t="str">
        <v>Dataset/benchmark</v>
      </c>
      <c r="G160" s="61" t="str">
        <v>Paper</v>
      </c>
      <c r="H160" s="62" t="str">
        <v>Pending</v>
      </c>
      <c r="I160" s="62" t="str"/>
      <c r="J160" s="61" t="str">
        <v>arXiv:1909.12271</v>
      </c>
      <c r="K160" s="61" t="str">
        <v>rlbench</v>
      </c>
      <c r="L160" s="61" t="str"/>
      <c r="M160" s="61" t="str">
        <v>Primary-source abstract or official release checked online on 2026-09-24; manuscript context used to identify the cited role.</v>
      </c>
    </row>
    <row r="161" ht="70" customHeight="1">
      <c r="A161" s="60" t="n">
        <v>153</v>
      </c>
      <c r="B161" s="60" t="n">
        <v>2024</v>
      </c>
      <c r="C161" s="61" t="str">
        <v>S. Tao, F. Xiang, A. Shukla, Y. Qin, X. Hinrichsen, X. Yuan, C. Bao, X. Lin, Y. Liu, T. kai Chan et al., “ManiSkill3: GPU parallelized robotics simulation and rendering for generalizable embodied AI,” arXiv preprint, 2024, arXiv:2410.00425.</v>
      </c>
      <c r="D161" s="61" t="str">
        <v>ManiSkill3 provides GPU-parallelized robotics simulation and rendering for learning manipulation policies. It includes diverse environments, demonstration data, and training baselines to support scalable robot-learning experiments.</v>
      </c>
      <c r="E161" s="63" t="str">
        <v>https://arxiv.org/abs/2410.00425</v>
      </c>
      <c r="F161" s="61" t="str">
        <v>Dataset/benchmark</v>
      </c>
      <c r="G161" s="61" t="str">
        <v>Paper</v>
      </c>
      <c r="H161" s="62" t="str">
        <v>Pending</v>
      </c>
      <c r="I161" s="62" t="str"/>
      <c r="J161" s="61" t="str">
        <v>arXiv:2410.00425</v>
      </c>
      <c r="K161" s="61" t="str">
        <v>maniskill3</v>
      </c>
      <c r="L161" s="61" t="str">
        <v>Simulator/software platform paper grouped with benchmark/evaluation sources.</v>
      </c>
      <c r="M161" s="61" t="str">
        <v>Primary-source abstract or official release checked online on 2026-09-24; manuscript context used to identify the cited role.</v>
      </c>
    </row>
    <row r="162" ht="62" customHeight="1">
      <c r="A162" s="60" t="n">
        <v>154</v>
      </c>
      <c r="B162" s="60" t="n">
        <v>2024</v>
      </c>
      <c r="C162" s="61" t="str">
        <v>S. Nasiriany, A. Maddukuri, L. Zhang, A. Parikh, A. Lo, A. Joshi, A. Mandlekar, and Y. Zhu, “RoboCasa: Large-scale simulation of everyday tasks for generalist robots,” in Proc. Robot.: Sci. Syst. (RSS), 2024.</v>
      </c>
      <c r="D162" s="61" t="str">
        <v>RoboCasa provides diverse simulated everyday environments, with a focus on kitchen manipulation tasks. It combines task definitions, human demonstrations, and automated trajectory generation for training and evaluating generalist robots.</v>
      </c>
      <c r="E162" s="63" t="str">
        <v>https://arxiv.org/abs/2406.02523</v>
      </c>
      <c r="F162" s="61" t="str">
        <v>Dataset/benchmark</v>
      </c>
      <c r="G162" s="61" t="str">
        <v>Paper</v>
      </c>
      <c r="H162" s="62" t="str">
        <v>Pending</v>
      </c>
      <c r="I162" s="62" t="str"/>
      <c r="J162" s="61" t="str">
        <v>arXiv:2406.02523</v>
      </c>
      <c r="K162" s="61" t="str">
        <v>robocasa</v>
      </c>
      <c r="L162" s="61" t="str">
        <v>Simulation-platform/task-generation research paper grouped with benchmark/evaluation sources.</v>
      </c>
      <c r="M162" s="61" t="str">
        <v>Primary-source abstract or official release checked online on 2026-09-24; manuscript context used to identify the cited role.</v>
      </c>
    </row>
    <row r="163" ht="62" customHeight="1">
      <c r="A163" s="60" t="n">
        <v>155</v>
      </c>
      <c r="B163" s="60" t="n">
        <v>2019</v>
      </c>
      <c r="C163" s="61" t="str">
        <v>T. Yu, D. Quillen, Z. He, R. Julian, K. Hausman, C. Finn, and S. Levine, “Meta-world: A benchmark and evaluation for multi-task and meta reinforcement learning,” in Proc. Conf. Robot Learn. (CoRL), 2019.</v>
      </c>
      <c r="D163" s="61" t="str">
        <v>Meta-World provides a collection of simulated manipulation tasks for multi-task and meta-reinforcement learning. It enables evaluation of shared learning across tasks and adaptation to new task instances.</v>
      </c>
      <c r="E163" s="63" t="str">
        <v>https://arxiv.org/abs/1910.10897</v>
      </c>
      <c r="F163" s="61" t="str">
        <v>Dataset/benchmark</v>
      </c>
      <c r="G163" s="61" t="str">
        <v>Paper</v>
      </c>
      <c r="H163" s="62" t="str">
        <v>Pending</v>
      </c>
      <c r="I163" s="62" t="str"/>
      <c r="J163" s="61" t="str">
        <v>arXiv:1910.10897</v>
      </c>
      <c r="K163" s="61" t="str">
        <v>metaworld</v>
      </c>
      <c r="L163" s="61" t="str"/>
      <c r="M163" s="61" t="str">
        <v>Primary-source abstract or official release checked online on 2026-09-24; manuscript context used to identify the cited role.</v>
      </c>
    </row>
    <row r="164" ht="70" customHeight="1">
      <c r="A164" s="60" t="n">
        <v>156</v>
      </c>
      <c r="B164" s="60" t="n">
        <v>2024</v>
      </c>
      <c r="C164" s="61" t="str">
        <v>S. Zhang, Z. Xu, P. Liu, X. Yu, Y. Li, Q. Gao, Z. Fei, Z. Yin, Z. Wu, Y.-G. Jiang, and X. Qiu, “VLABench: A large-scale benchmark for languageconditioned robotics manipulation with long-horizon reasoning tasks,” arXiv preprint, 2024, arXiv:2412.18194.</v>
      </c>
      <c r="D164" s="61" t="str">
        <v>VLABench evaluates language-conditioned manipulation with randomized tasks, implicit intentions, and multi-step reasoning requirements. It assesses action policies and language-based capabilities while providing data for downstream training.</v>
      </c>
      <c r="E164" s="63" t="str">
        <v>https://arxiv.org/abs/2412.18194</v>
      </c>
      <c r="F164" s="61" t="str">
        <v>Dataset/benchmark</v>
      </c>
      <c r="G164" s="61" t="str">
        <v>Paper</v>
      </c>
      <c r="H164" s="62" t="str">
        <v>Pending</v>
      </c>
      <c r="I164" s="62" t="str"/>
      <c r="J164" s="61" t="str">
        <v>arXiv:2412.18194</v>
      </c>
      <c r="K164" s="61" t="str">
        <v>vlabench</v>
      </c>
      <c r="L164" s="61" t="str"/>
      <c r="M164" s="61" t="str">
        <v>Primary-source abstract or official release checked online on 2026-09-24; manuscript context used to identify the cited role.</v>
      </c>
    </row>
    <row r="165" ht="62" customHeight="1">
      <c r="A165" s="60" t="n">
        <v>157</v>
      </c>
      <c r="B165" s="60" t="n">
        <v>2024</v>
      </c>
      <c r="C165" s="61" t="str">
        <v>W. Pumacay, I. Singh, J. Duan, R. Krishna, J. Thomason, and D. Fox, “THE COLOSSEUM: A benchmark for evaluating generalization for robotic manipulation,” in Robotics: Science and Systems (RSS), 2024, arXiv:2402.08191.</v>
      </c>
      <c r="D165" s="61" t="str">
        <v>THE COLOSSEUM evaluates manipulation-policy generalization through systematic changes to task and environment conditions. It tests robustness beyond performance in an unchanged benchmark setting.</v>
      </c>
      <c r="E165" s="63" t="str">
        <v>https://arxiv.org/abs/2402.08191</v>
      </c>
      <c r="F165" s="61" t="str">
        <v>Dataset/benchmark</v>
      </c>
      <c r="G165" s="61" t="str">
        <v>Paper</v>
      </c>
      <c r="H165" s="62" t="str">
        <v>Pending</v>
      </c>
      <c r="I165" s="62" t="str"/>
      <c r="J165" s="61" t="str">
        <v>arXiv:2402.08191</v>
      </c>
      <c r="K165" s="61" t="str">
        <v>colosseum</v>
      </c>
      <c r="L165" s="61" t="str"/>
      <c r="M165" s="61" t="str">
        <v>Supported by the surgical manuscript discussion and earlier primary-source review notes; qualitative scope retained without new performance claims.</v>
      </c>
    </row>
    <row r="166" ht="62" customHeight="1">
      <c r="A166" s="60" t="n">
        <v>158</v>
      </c>
      <c r="B166" s="60" t="n">
        <v>2023</v>
      </c>
      <c r="C166" s="61" t="str">
        <v>M. Heo, Y. Lee, D. Lee, and J. J. Lim, “FurnitureBench: Reproducible real-world benchmark for long-horizon complex manipulation,” in Robotics: Science and Systems (RSS), 2023, arXiv:2305.12821.</v>
      </c>
      <c r="D166" s="61" t="str">
        <v>FurnitureBench provides a reproducible physical benchmark for long-horizon furniture assembly. It includes demonstration data, standardized setup resources, and a corresponding simulator for studying manipulation learning.</v>
      </c>
      <c r="E166" s="63" t="str">
        <v>https://arxiv.org/abs/2305.12821</v>
      </c>
      <c r="F166" s="61" t="str">
        <v>Dataset/benchmark</v>
      </c>
      <c r="G166" s="61" t="str">
        <v>Paper</v>
      </c>
      <c r="H166" s="62" t="str">
        <v>Pending</v>
      </c>
      <c r="I166" s="62" t="str"/>
      <c r="J166" s="61" t="str">
        <v>arXiv:2305.12821</v>
      </c>
      <c r="K166" s="61" t="str">
        <v>furniturebench</v>
      </c>
      <c r="L166" s="61" t="str"/>
      <c r="M166" s="61" t="str">
        <v>Primary-source abstract or official release checked online on 2026-09-24; manuscript context used to identify the cited role.</v>
      </c>
    </row>
    <row r="167" ht="70" customHeight="1">
      <c r="A167" s="60" t="n">
        <v>159</v>
      </c>
      <c r="B167" s="60" t="n">
        <v>2024</v>
      </c>
      <c r="C167" s="61" t="str">
        <v>C. Li, R. Zhang, J. Wong, C. Gokmen, S. Srivastava, R. Martín-Martín, C. Wang, G. Levine et al., “BEHAVIOR-1K: A human-centered, embodied AI benchmark with 1,000 everyday activities and realistic simulation,” arXiv preprint, 2024, arXiv:2403.09227.</v>
      </c>
      <c r="D167" s="61" t="str">
        <v>BEHAVIOR-1K defines everyday household activities and supports them through the OmniGibson simulation environment. Its evaluation emphasizes long-horizon behavior and complex interaction with diverse objects and physical materials.</v>
      </c>
      <c r="E167" s="63" t="str">
        <v>https://arxiv.org/abs/2403.09227</v>
      </c>
      <c r="F167" s="61" t="str">
        <v>Dataset/benchmark</v>
      </c>
      <c r="G167" s="61" t="str">
        <v>Paper</v>
      </c>
      <c r="H167" s="62" t="str">
        <v>Pending</v>
      </c>
      <c r="I167" s="62" t="str"/>
      <c r="J167" s="61" t="str">
        <v>arXiv:2403.09227</v>
      </c>
      <c r="K167" s="61" t="str">
        <v>behavior1k</v>
      </c>
      <c r="L167" s="61" t="str"/>
      <c r="M167" s="61" t="str">
        <v>Primary-source abstract or official release checked online on 2026-09-24; manuscript context used to identify the cited role.</v>
      </c>
    </row>
    <row r="168" ht="70" customHeight="1">
      <c r="A168" s="60" t="n">
        <v>160</v>
      </c>
      <c r="B168" s="60" t="n">
        <v>2025</v>
      </c>
      <c r="C168" s="61" t="str">
        <v>P. Atreya, K. Pertsch, T. Lee, M. J. Kim, A. Jain, A. Kuramshin, C. Eppner, C. Neary, E. Hu, F. Ramos et al., “RoboArena: Distributed real-world evaluation of generalist robot policies,” in Conference on Robot Learning (CoRL), PMLR vol. 305, 2025, arXiv:2506.18123.</v>
      </c>
      <c r="D168" s="61" t="str">
        <v>RoboArena distributes real-robot evaluation across multiple evaluators, who compare pairs of policies under shared local conditions. Aggregated preference feedback supports policy comparison across varied tasks and environments.</v>
      </c>
      <c r="E168" s="63" t="str">
        <v>https://arxiv.org/abs/2506.18123</v>
      </c>
      <c r="F168" s="61" t="str">
        <v>Dataset/benchmark</v>
      </c>
      <c r="G168" s="61" t="str">
        <v>Paper</v>
      </c>
      <c r="H168" s="62" t="str">
        <v>Pending</v>
      </c>
      <c r="I168" s="62" t="str"/>
      <c r="J168" s="61" t="str">
        <v>arXiv:2506.18123</v>
      </c>
      <c r="K168" s="61" t="str">
        <v>roboarena</v>
      </c>
      <c r="L168" s="61" t="str"/>
      <c r="M168" s="61" t="str">
        <v>Primary-source abstract or official release checked online on 2026-09-24; manuscript context used to identify the cited role.</v>
      </c>
    </row>
    <row r="169" ht="62" customHeight="1">
      <c r="A169" s="60" t="n">
        <v>161</v>
      </c>
      <c r="B169" s="60" t="n">
        <v>2023</v>
      </c>
      <c r="C169" s="61" t="str">
        <v>H. Walke, K. Black, A. Lee, M. J. Kim, M. Du, C. Zheng, T. Zhao, P. Hansen-Estruch, Q. Vuong, A. He et al., “BridgeData V2: A dataset for robot learning at scale,” in Proc. Conf. Robot Learn. (CoRL), 2023.</v>
      </c>
      <c r="D169" s="61" t="str">
        <v>BridgeData V2 provides diverse real-robot manipulation trajectories for scalable robot learning. It supports studying how training across tasks and environments affects policy generalization.</v>
      </c>
      <c r="E169" s="63" t="str">
        <v>https://arxiv.org/abs/2308.12952</v>
      </c>
      <c r="F169" s="61" t="str">
        <v>Dataset/benchmark</v>
      </c>
      <c r="G169" s="61" t="str">
        <v>Paper</v>
      </c>
      <c r="H169" s="62" t="str">
        <v>Pending</v>
      </c>
      <c r="I169" s="62" t="str"/>
      <c r="J169" s="61" t="str">
        <v>arXiv:2308.12952</v>
      </c>
      <c r="K169" s="61" t="str">
        <v>bridgedata</v>
      </c>
      <c r="L169" s="61" t="str"/>
      <c r="M169" s="61" t="str">
        <v>Primary-source abstract or official release checked online on 2026-09-24; manuscript context used to identify the cited role.</v>
      </c>
    </row>
    <row r="170" ht="62" customHeight="1">
      <c r="A170" s="60" t="n">
        <v>162</v>
      </c>
      <c r="B170" s="60" t="n">
        <v>2025</v>
      </c>
      <c r="C170" s="61" t="str">
        <v>AgiBot-World Contributors, “AgiBot World Colosseo: A large-scale manipulation platform for scalable and intelligent embodied systems,” arXiv preprint, 2025, arXiv:2503.06669.</v>
      </c>
      <c r="D170" s="61" t="str">
        <v>AgiBot World combines a standardized robot-data collection platform with diverse manipulation trajectories. Its accompanying policy experiments study how data scale and coverage affect generalist robot learning.</v>
      </c>
      <c r="E170" s="63" t="str">
        <v>https://arxiv.org/abs/2503.06669</v>
      </c>
      <c r="F170" s="61" t="str">
        <v>Dataset/benchmark</v>
      </c>
      <c r="G170" s="61" t="str">
        <v>Paper</v>
      </c>
      <c r="H170" s="62" t="str">
        <v>Pending</v>
      </c>
      <c r="I170" s="62" t="str"/>
      <c r="J170" s="61" t="str">
        <v>arXiv:2503.06669</v>
      </c>
      <c r="K170" s="61" t="str">
        <v>agibotworld</v>
      </c>
      <c r="L170" s="61" t="str">
        <v>Hybrid dataset/platform/system report; category is functional, not exclusion from research.</v>
      </c>
      <c r="M170" s="61" t="str">
        <v>Primary-source abstract or official release checked online on 2026-09-24; manuscript context used to identify the cited role.</v>
      </c>
    </row>
    <row r="171" ht="70" customHeight="1">
      <c r="A171" s="60" t="n">
        <v>163</v>
      </c>
      <c r="B171" s="60" t="n">
        <v>2024</v>
      </c>
      <c r="C171" s="61" t="str">
        <v>H.-S. Fang, H. Fang, Z. Tang, J. Liu, C. Wang, J. Wang, H. Zhu, and C. Lu, “RH20T: A comprehensive robotic dataset for learning diverse skills in one-shot,” in IEEE International Conference on Robotics and Automation (ICRA), 2024, arXiv:2307.00595.</v>
      </c>
      <c r="D171" s="61" t="str">
        <v>RH20T records contact-rich real-world manipulation with visual, force, audio, and action information. Corresponding human demonstration videos and language descriptions support research on learning varied skills from demonstrations.</v>
      </c>
      <c r="E171" s="63" t="str">
        <v>https://arxiv.org/abs/2307.00595</v>
      </c>
      <c r="F171" s="61" t="str">
        <v>Dataset/benchmark</v>
      </c>
      <c r="G171" s="61" t="str">
        <v>Paper</v>
      </c>
      <c r="H171" s="62" t="str">
        <v>Pending</v>
      </c>
      <c r="I171" s="62" t="str"/>
      <c r="J171" s="61" t="str">
        <v>arXiv:2307.00595</v>
      </c>
      <c r="K171" s="61" t="str">
        <v>rh20t</v>
      </c>
      <c r="L171" s="61" t="str"/>
      <c r="M171" s="61" t="str">
        <v>Primary-source abstract or official release checked online on 2026-09-24; manuscript context used to identify the cited role.</v>
      </c>
    </row>
    <row r="172" ht="62" customHeight="1">
      <c r="A172" s="60" t="n">
        <v>164</v>
      </c>
      <c r="B172" s="60" t="n">
        <v>2024</v>
      </c>
      <c r="C172" s="61" t="str">
        <v>K. Wu, C. Hou, J. Liu, Z. Che, X. Ju, Z. Yang, M. Li, Y. Zhao et al., “RoboMIND: Benchmark on multi-embodiment intelligence normative data for robot manipulation,” arXiv preprint, 2024, arXiv:2412.13877. [Online]. Available:</v>
      </c>
      <c r="D172" s="61" t="str">
        <v>RoboMIND collects teleoperated manipulation demonstrations across robot embodiments under a standardized protocol. It includes multimodal observations, task descriptions, failure demonstrations, and digital-twin support for training and evaluation.</v>
      </c>
      <c r="E172" s="63" t="str">
        <v>https://arxiv.org/abs/2412.13877</v>
      </c>
      <c r="F172" s="61" t="str">
        <v>Dataset/benchmark</v>
      </c>
      <c r="G172" s="61" t="str">
        <v>Paper</v>
      </c>
      <c r="H172" s="62" t="str">
        <v>Pending</v>
      </c>
      <c r="I172" s="62" t="str"/>
      <c r="J172" s="61" t="str">
        <v>arXiv:2412.13877</v>
      </c>
      <c r="K172" s="61" t="str">
        <v>robomind</v>
      </c>
      <c r="L172" s="61" t="str"/>
      <c r="M172" s="61" t="str">
        <v>Primary-source abstract or official release checked online on 2026-09-24; manuscript context used to identify the cited role.</v>
      </c>
    </row>
    <row r="173" ht="62" customHeight="1">
      <c r="A173" s="60" t="n">
        <v>165</v>
      </c>
      <c r="B173" s="60" t="n">
        <v>2025</v>
      </c>
      <c r="C173" s="61" t="str">
        <v>Y. Hu, S. Huang, Y. Liao, S. Chen, P. Zhou, L. Chen, M. Yao, and G. Ren, “EWMBench: Evaluating Scene, Motion, and Semantic Quality in Embodied World Models,” arXiv preprint arXiv:2505.09694, 2025.</v>
      </c>
      <c r="D173" s="61" t="str">
        <v>EWMBench assesses generated embodied video through scene consistency, motion correctness, and semantic alignment. Its curated data and evaluation tools measure predictive-video quality rather than directly measuring task success with a robot controller.</v>
      </c>
      <c r="E173" s="63" t="str">
        <v>https://arxiv.org/abs/2505.09694</v>
      </c>
      <c r="F173" s="61" t="str">
        <v>Dataset/benchmark</v>
      </c>
      <c r="G173" s="61" t="str">
        <v>Paper</v>
      </c>
      <c r="H173" s="62" t="str">
        <v>Pending</v>
      </c>
      <c r="I173" s="62" t="str"/>
      <c r="J173" s="61" t="str">
        <v>arXiv:2505.09694</v>
      </c>
      <c r="K173" s="61" t="str">
        <v>ewmbench</v>
      </c>
      <c r="L173" s="61" t="str"/>
      <c r="M173" s="61" t="str">
        <v>Primary-source abstract or official release checked online on 2026-09-24; manuscript context used to identify the cited role.</v>
      </c>
    </row>
    <row r="174" ht="85" customHeight="1">
      <c r="A174" s="60" t="n">
        <v>166</v>
      </c>
      <c r="B174" s="60" t="n">
        <v>2026</v>
      </c>
      <c r="C174" s="61" t="str">
        <v>Y. Shang, Z. Li, Y. Ma, W. Su, X. Jin, Z. Wang, L. Jin, X. Zhang, Y. Tang, H. Su, C. Gao, W. Wu, X. Liu, D. Shah, Z. Zhang, Z. Chen, J. Zhu, Y. Tian, T.-S. Chua, W. Zhu, and Y. Li, “WorldArena: A unified benchmark for evaluating perception and functional utility of embodied world models,” arXiv preprint, 2026, arXiv:2602.08971.</v>
      </c>
      <c r="D174" s="61" t="str">
        <v>WorldArena evaluates both perceptual quality and functional uses of embodied world models. Its tests cover data generation, policy evaluation, and action planning, exposing differences between visual fidelity and task usefulness.</v>
      </c>
      <c r="E174" s="63" t="str">
        <v>https://arxiv.org/abs/2602.08971</v>
      </c>
      <c r="F174" s="61" t="str">
        <v>Dataset/benchmark</v>
      </c>
      <c r="G174" s="61" t="str">
        <v>Paper</v>
      </c>
      <c r="H174" s="62" t="str">
        <v>Pending</v>
      </c>
      <c r="I174" s="62" t="str"/>
      <c r="J174" s="61" t="str">
        <v>arXiv:2602.08971</v>
      </c>
      <c r="K174" s="61" t="str">
        <v>worldarena</v>
      </c>
      <c r="L174" s="61" t="str"/>
      <c r="M174" s="61" t="str">
        <v>Primary-source abstract or official release checked online on 2026-09-24; manuscript context used to identify the cited role.</v>
      </c>
    </row>
    <row r="175" ht="85" customHeight="1">
      <c r="A175" s="60" t="n">
        <v>167</v>
      </c>
      <c r="B175" s="60" t="n">
        <v>2026</v>
      </c>
      <c r="C175" s="61" t="str">
        <v>Y. Shang, Y. Tang, Y. Ma, Z. Li, L. Jin, W. Su, X. Jin, Z. Wang, Z. Wang, X. Zhang, H. Su, W. He, W. Wu, H. Duan, G. Wetzstein, X. Liu, D. Shah, Z. Zhang, Z. Chen, J. Zhu, Y. Tian, T.-S. Chua, W. Zhu, C. Gao, and Y. Li, “WorldArena 2.0: Extending embodied world model benchmarking on modality, functionality and platform,” arXiv preprint, 2026, arXiv:2605.17912.</v>
      </c>
      <c r="D175" s="61" t="str">
        <v>WorldArena 2.0 extends world-model evaluation to visuotactile observations, interactive reinforcement-learning environments, and multiple robotic platforms. It assesses prediction and interactive utility across simulated and real-world settings.</v>
      </c>
      <c r="E175" s="63" t="str">
        <v>https://arxiv.org/abs/2605.17912</v>
      </c>
      <c r="F175" s="61" t="str">
        <v>Dataset/benchmark</v>
      </c>
      <c r="G175" s="61" t="str">
        <v>Paper</v>
      </c>
      <c r="H175" s="62" t="str">
        <v>Pending</v>
      </c>
      <c r="I175" s="62" t="str"/>
      <c r="J175" s="61" t="str">
        <v>arXiv:2605.17912</v>
      </c>
      <c r="K175" s="61" t="str">
        <v>shang2026worldarena2</v>
      </c>
      <c r="L175" s="61" t="str"/>
      <c r="M175" s="61" t="str">
        <v>Primary-source abstract or official release checked online on 2026-09-24; manuscript context used to identify the cited role.</v>
      </c>
    </row>
    <row r="176" ht="70" customHeight="1">
      <c r="A176" s="60" t="n">
        <v>168</v>
      </c>
      <c r="B176" s="60" t="n">
        <v>2026</v>
      </c>
      <c r="C176" s="61" t="str">
        <v>Y. Sun, M. Cao, P. Yang, R. Xu, Y. Yan, R. Xu, L. Ma, R. Gan, A. Zhai, Q. Chen, Z. Xu, H. Wang, J. Yu, L. Liang, Q. Wang, I. Laptev, I. D. Reid, and X. Liang, “ManipArena: Comprehensive real-world evaluation of reasoning-oriented generalist robot manipulation,” arXiv preprint, 2026, arXiv:2603.28545.</v>
      </c>
      <c r="D176" s="61" t="str">
        <v>ManipArena provides standardized physical manipulation evaluation with structured task variation and paired real-to-simulation environments. It compares generalist policy configurations while tracking generalization and subtask-level performance.</v>
      </c>
      <c r="E176" s="63" t="str">
        <v>https://arxiv.org/abs/2603.28545</v>
      </c>
      <c r="F176" s="61" t="str">
        <v>Dataset/benchmark</v>
      </c>
      <c r="G176" s="61" t="str">
        <v>Paper</v>
      </c>
      <c r="H176" s="62" t="str">
        <v>Pending</v>
      </c>
      <c r="I176" s="62" t="str"/>
      <c r="J176" s="61" t="str">
        <v>arXiv:2603.28545</v>
      </c>
      <c r="K176" s="61" t="str">
        <v>maniparena</v>
      </c>
      <c r="L176" s="61" t="str"/>
      <c r="M176" s="61" t="str">
        <v>Primary-source abstract or official release checked online on 2026-09-24; manuscript context used to identify the cited role.</v>
      </c>
    </row>
    <row r="177" ht="62" customHeight="1">
      <c r="A177" s="60" t="n">
        <v>169</v>
      </c>
      <c r="B177" s="60" t="n">
        <v>2025</v>
      </c>
      <c r="C177" s="61" t="str">
        <v>Shi et al., “MemoryVLA: Perceptual-cognitive memory in vision-language-action models for robotic manipulation,” arXiv preprint, 2025, arXiv:2508.19236.</v>
      </c>
      <c r="D177" s="61" t="str">
        <v>MemoryVLA combines perceptual and semantic memory retrieval with a memory-conditioned diffusion action expert. It supplies temporal context for manipulation decisions that cannot be resolved reliably from the current observation alone.</v>
      </c>
      <c r="E177" s="63" t="str">
        <v>https://arxiv.org/abs/2508.19236</v>
      </c>
      <c r="F177" s="61" t="str">
        <v>VLA/action policy</v>
      </c>
      <c r="G177" s="61" t="str">
        <v>Paper</v>
      </c>
      <c r="H177" s="62" t="str">
        <v>Pending</v>
      </c>
      <c r="I177" s="62" t="str"/>
      <c r="J177" s="61" t="str">
        <v>arXiv:2508.19236</v>
      </c>
      <c r="K177" s="61" t="str">
        <v>memoryvla</v>
      </c>
      <c r="L177" s="61" t="str"/>
      <c r="M177" s="61" t="str">
        <v>Source-checked VLA/action-policy README catalogue (2026-09-23) and surgical manuscript context; no new quantitative claim.</v>
      </c>
    </row>
    <row r="178" ht="62" customHeight="1">
      <c r="A178" s="60" t="n">
        <v>170</v>
      </c>
      <c r="B178" s="60" t="n">
        <v>2025</v>
      </c>
      <c r="C178" s="61" t="str">
        <v>Yu et al., “ForceVLA: Enhancing VLA models with a force-aware MoE for contact-rich manipulation,” arXiv preprint, 2025, arXiv:2505.22159.</v>
      </c>
      <c r="D178" s="61" t="str">
        <v>ForceVLA integrates force-torque feedback with vision-language features through a force-aware mixture-of-experts module. It targets contact-rich manipulation where visual information alone may be insufficient.</v>
      </c>
      <c r="E178" s="63" t="str">
        <v>https://arxiv.org/abs/2505.22159</v>
      </c>
      <c r="F178" s="61" t="str">
        <v>VLA/action policy</v>
      </c>
      <c r="G178" s="61" t="str">
        <v>Paper</v>
      </c>
      <c r="H178" s="62" t="str">
        <v>Pending</v>
      </c>
      <c r="I178" s="62" t="str"/>
      <c r="J178" s="61" t="str">
        <v>arXiv:2505.22159</v>
      </c>
      <c r="K178" s="61" t="str">
        <v>forcevla</v>
      </c>
      <c r="L178" s="61" t="str"/>
      <c r="M178" s="61" t="str">
        <v>Source-checked VLA/action-policy README catalogue (2026-09-23) and surgical manuscript context; no new quantitative claim.</v>
      </c>
    </row>
    <row r="179" ht="62" customHeight="1">
      <c r="A179" s="60" t="n">
        <v>171</v>
      </c>
      <c r="B179" s="60" t="n">
        <v>2025</v>
      </c>
      <c r="C179" s="61" t="str">
        <v>Huang et al., “Tactile-VLA: Unlocking vision-language-action model’s physical knowledge for tactile generalization,” arXiv preprint, 2025, arXiv:2507.09160.</v>
      </c>
      <c r="D179" s="61" t="str">
        <v>Tactile-VLA combines tactile feedback and multimodal reasoning with a hybrid position-force controller. It connects contact sensing to robot action selection for physical interaction.</v>
      </c>
      <c r="E179" s="63" t="str">
        <v>https://arxiv.org/abs/2507.09160</v>
      </c>
      <c r="F179" s="61" t="str">
        <v>VLA/action policy</v>
      </c>
      <c r="G179" s="61" t="str">
        <v>Paper</v>
      </c>
      <c r="H179" s="62" t="str">
        <v>Pending</v>
      </c>
      <c r="I179" s="62" t="str"/>
      <c r="J179" s="61" t="str">
        <v>arXiv:2507.09160</v>
      </c>
      <c r="K179" s="61" t="str">
        <v>tactilevla</v>
      </c>
      <c r="L179" s="61" t="str"/>
      <c r="M179" s="61" t="str">
        <v>Source-checked VLA/action-policy README catalogue (2026-09-23) and surgical manuscript context; no new quantitative claim.</v>
      </c>
    </row>
    <row r="180" ht="62" customHeight="1">
      <c r="A180" s="60" t="n">
        <v>172</v>
      </c>
      <c r="B180" s="60" t="n">
        <v>2024</v>
      </c>
      <c r="C180" s="61" t="str">
        <v>I. Shumailov, Z. Shumaylov, Y. Zhao, N. Papernot, R. Anderson, and Y. Gal, “AI models collapse when trained on recursively generated data,” Nature, vol. 631, pp. 755–759, 2024.</v>
      </c>
      <c r="D180" s="61" t="str">
        <v>This study examines degradation when generative models are repeatedly trained on outputs from previous model generations. Its analysis motivates care in the recursive use of synthetic training data, including preservation of the original data distribution.</v>
      </c>
      <c r="E180" s="63" t="str">
        <v>https://www.nature.com/articles/s41586-024-07566-y</v>
      </c>
      <c r="F180" s="61" t="str">
        <v>Methodology</v>
      </c>
      <c r="G180" s="61" t="str">
        <v>Paper</v>
      </c>
      <c r="H180" s="62" t="str">
        <v>Pending</v>
      </c>
      <c r="I180" s="62" t="str"/>
      <c r="J180" s="61" t="str">
        <v>https://www.nature.com/articles/s41586-024-07566-y</v>
      </c>
      <c r="K180" s="61" t="str">
        <v>modelcollapse</v>
      </c>
      <c r="L180" s="61" t="str"/>
      <c r="M180" s="61" t="str">
        <v>Primary-source abstract or official release checked online on 2026-09-24; manuscript context used to identify the cited role.</v>
      </c>
    </row>
    <row r="181" ht="62" customHeight="1">
      <c r="A181" s="60" t="n">
        <v>173</v>
      </c>
      <c r="B181" s="60" t="n">
        <v>2026</v>
      </c>
      <c r="C181" s="61" t="str">
        <v>A. I. for AI, “VLA evaluation harness,” Open-source software, v0.4.0, 2026.</v>
      </c>
      <c r="D181" s="61" t="str">
        <v>The VLA Evaluation Harness provides a common framework for running robot-policy evaluations across simulation benchmarks. Its versioned implementation separates model servers from benchmark clients and records reproducible evaluation configurations.</v>
      </c>
      <c r="E181" s="63" t="str">
        <v>https://github.com/allenai/vla-evaluation-harness/tree/v0.4.0</v>
      </c>
      <c r="F181" s="61" t="str">
        <v>Software</v>
      </c>
      <c r="G181" s="61" t="str">
        <v>Technical release / software</v>
      </c>
      <c r="H181" s="62" t="str">
        <v>Pending</v>
      </c>
      <c r="I181" s="62" t="str"/>
      <c r="J181" s="61" t="str">
        <v>https://github.com/allenai/vla-evaluation-harness/tree/v0.4.0</v>
      </c>
      <c r="K181" s="61" t="str">
        <v>vlaharness</v>
      </c>
      <c r="L181" s="61" t="str">
        <v>Cited software version0.4.0; no formal paper is identified in current citation.</v>
      </c>
      <c r="M181" s="61" t="str">
        <v>Official GitHub README at the cited v0.4.0 tag checked on 2026-09-24; software functionality summarized without peer-review or inclusion claims.</v>
      </c>
    </row>
    <row r="182" ht="85" customHeight="1">
      <c r="A182" s="60" t="n">
        <v>174</v>
      </c>
      <c r="B182" s="60" t="n">
        <v>2026</v>
      </c>
      <c r="C182" s="61" t="str">
        <v>R. Cadene, S. Aliberts, F. Capuano, M. Aractingi, A. Zouitine, P. Kooijmans, J. Choghari, M. Russi, C. Pascal, S. Palma, M. Shukor, J. Moss, A. Soare, D. Aubakirova, Q. Lhoest, Q. Gallouédec, and T. Wolf, “LeRobot: An open-source library for end-to-end robot learning,” arXiv preprint, 2026, arXiv:2602.22818.</v>
      </c>
      <c r="D182" s="61" t="str">
        <v>LeRobot integrates hardware communication, data collection and storage, policy training, and inference within an open robot-learning library. It supports accessible real-world hardware and extensible implementations of learning-based control methods.</v>
      </c>
      <c r="E182" s="63" t="str">
        <v>https://arxiv.org/abs/2602.22818</v>
      </c>
      <c r="F182" s="61" t="str">
        <v>Software</v>
      </c>
      <c r="G182" s="61" t="str">
        <v>Paper</v>
      </c>
      <c r="H182" s="62" t="str">
        <v>Pending</v>
      </c>
      <c r="I182" s="62" t="str"/>
      <c r="J182" s="61" t="str">
        <v>arXiv:2602.22818</v>
      </c>
      <c r="K182" s="61" t="str">
        <v>cadene2026lerobot</v>
      </c>
      <c r="L182" s="61" t="str">
        <v>Formal software/library paper; distinct from a standalone repository release.</v>
      </c>
      <c r="M182" s="61" t="str">
        <v>Primary-source abstract or official release checked online on 2026-09-24; manuscript context used to identify the cited role.</v>
      </c>
    </row>
    <row r="183" ht="70" customHeight="1">
      <c r="A183" s="60" t="n">
        <v>175</v>
      </c>
      <c r="B183" s="60" t="n">
        <v>2022</v>
      </c>
      <c r="C183" s="61" t="str">
        <v>K. Grauman, A. Westbury, E. Byrne, Z. Chavis, A. Furnari, R. Girdhar, J. Hamburger et al., “Ego4D: Around the World in 3,000 Hours of Egocentric Video,” in Proceedings of the IEEE/CVF Conference on Computer Vision and Pattern Recognition, 2022.</v>
      </c>
      <c r="D183" s="61" t="str">
        <v>Ego4D collects diverse first-person human video and defines benchmarks for egocentric perception. It provides visual experience relevant to representation learning, distinct from demonstrations labelled with robot-control actions.</v>
      </c>
      <c r="E183" s="63" t="str">
        <v>https://arxiv.org/abs/2110.07058</v>
      </c>
      <c r="F183" s="61" t="str">
        <v>Dataset/benchmark</v>
      </c>
      <c r="G183" s="61" t="str">
        <v>Paper</v>
      </c>
      <c r="H183" s="62" t="str">
        <v>Pending</v>
      </c>
      <c r="I183" s="62" t="str"/>
      <c r="J183" s="61" t="str">
        <v>arXiv:2110.07058</v>
      </c>
      <c r="K183" s="61" t="str">
        <v>ego4d</v>
      </c>
      <c r="L183" s="61" t="str"/>
      <c r="M183" s="61" t="str">
        <v>Primary-source abstract or official release checked online on 2026-09-24; manuscript context used to identify the cited role.</v>
      </c>
    </row>
  </sheetData>
  <dataValidations count="1">
    <dataValidation type="list" sqref="H9:H183">
      <formula1>"Pending,Include,Background,Exclude,Duplicate"</formula1>
    </dataValidation>
  </dataValidations>
  <hyperlinks>
    <hyperlink ref="E9" r:id="paperLink9"/>
    <hyperlink ref="E10" r:id="paperLink10"/>
    <hyperlink ref="E11" r:id="paperLink11"/>
    <hyperlink ref="E12" r:id="paperLink12"/>
    <hyperlink ref="E13" r:id="paperLink13"/>
    <hyperlink ref="E14" r:id="paperLink14"/>
    <hyperlink ref="E15" r:id="paperLink15"/>
    <hyperlink ref="E16" r:id="paperLink16"/>
    <hyperlink ref="E17" r:id="paperLink17"/>
    <hyperlink ref="E18" r:id="paperLink18"/>
    <hyperlink ref="E19" r:id="paperLink19"/>
    <hyperlink ref="E20" r:id="paperLink20"/>
    <hyperlink ref="E21" r:id="paperLink21"/>
    <hyperlink ref="E22" r:id="paperLink22"/>
    <hyperlink ref="E23" r:id="paperLink23"/>
    <hyperlink ref="E24" r:id="paperLink24"/>
    <hyperlink ref="E25" r:id="paperLink25"/>
    <hyperlink ref="E26" r:id="paperLink26"/>
    <hyperlink ref="E27" r:id="paperLink27"/>
    <hyperlink ref="E28" r:id="paperLink28"/>
    <hyperlink ref="E29" r:id="paperLink29"/>
    <hyperlink ref="E30" r:id="paperLink30"/>
    <hyperlink ref="E31" r:id="paperLink31"/>
    <hyperlink ref="E32" r:id="paperLink32"/>
    <hyperlink ref="E33" r:id="paperLink33"/>
    <hyperlink ref="E34" r:id="paperLink34"/>
    <hyperlink ref="E35" r:id="paperLink35"/>
    <hyperlink ref="E36" r:id="paperLink36"/>
    <hyperlink ref="E37" r:id="paperLink37"/>
    <hyperlink ref="E38" r:id="paperLink38"/>
    <hyperlink ref="E39" r:id="paperLink39"/>
    <hyperlink ref="E40" r:id="paperLink40"/>
    <hyperlink ref="E41" r:id="paperLink41"/>
    <hyperlink ref="E42" r:id="paperLink42"/>
    <hyperlink ref="E43" r:id="paperLink43"/>
    <hyperlink ref="E44" r:id="paperLink44"/>
    <hyperlink ref="E45" r:id="paperLink45"/>
    <hyperlink ref="E46" r:id="paperLink46"/>
    <hyperlink ref="E47" r:id="paperLink47"/>
    <hyperlink ref="E48" r:id="paperLink48"/>
    <hyperlink ref="E49" r:id="paperLink49"/>
    <hyperlink ref="E50" r:id="paperLink50"/>
    <hyperlink ref="E51" r:id="paperLink51"/>
    <hyperlink ref="E52" r:id="paperLink52"/>
    <hyperlink ref="E53" r:id="paperLink53"/>
    <hyperlink ref="E54" r:id="paperLink54"/>
    <hyperlink ref="E55" r:id="paperLink55"/>
    <hyperlink ref="E56" r:id="paperLink56"/>
    <hyperlink ref="E57" r:id="paperLink57"/>
    <hyperlink ref="E58" r:id="paperLink58"/>
    <hyperlink ref="E59" r:id="paperLink59"/>
    <hyperlink ref="E60" r:id="paperLink60"/>
    <hyperlink ref="E61" r:id="paperLink61"/>
    <hyperlink ref="E62" r:id="paperLink62"/>
    <hyperlink ref="E63" r:id="paperLink63"/>
    <hyperlink ref="E64" r:id="paperLink64"/>
    <hyperlink ref="E65" r:id="paperLink65"/>
    <hyperlink ref="E66" r:id="paperLink66"/>
    <hyperlink ref="E67" r:id="paperLink67"/>
    <hyperlink ref="E68" r:id="paperLink68"/>
    <hyperlink ref="E69" r:id="paperLink69"/>
    <hyperlink ref="E70" r:id="paperLink70"/>
    <hyperlink ref="E71" r:id="paperLink71"/>
    <hyperlink ref="E72" r:id="paperLink72"/>
    <hyperlink ref="E73" r:id="paperLink73"/>
    <hyperlink ref="E74" r:id="paperLink74"/>
    <hyperlink ref="E75" r:id="paperLink75"/>
    <hyperlink ref="E76" r:id="paperLink76"/>
    <hyperlink ref="E77" r:id="paperLink77"/>
    <hyperlink ref="E78" r:id="paperLink78"/>
    <hyperlink ref="E79" r:id="paperLink79"/>
    <hyperlink ref="E80" r:id="paperLink80"/>
    <hyperlink ref="E81" r:id="paperLink81"/>
    <hyperlink ref="E82" r:id="paperLink82"/>
    <hyperlink ref="E83" r:id="paperLink83"/>
    <hyperlink ref="E84" r:id="paperLink84"/>
    <hyperlink ref="E85" r:id="paperLink85"/>
    <hyperlink ref="E86" r:id="paperLink86"/>
    <hyperlink ref="E87" r:id="paperLink87"/>
    <hyperlink ref="E88" r:id="paperLink88"/>
    <hyperlink ref="E89" r:id="paperLink89"/>
    <hyperlink ref="E90" r:id="paperLink90"/>
    <hyperlink ref="E91" r:id="paperLink91"/>
    <hyperlink ref="E92" r:id="paperLink92"/>
    <hyperlink ref="E93" r:id="paperLink93"/>
    <hyperlink ref="E94" r:id="paperLink94"/>
    <hyperlink ref="E95" r:id="paperLink95"/>
    <hyperlink ref="E96" r:id="paperLink96"/>
    <hyperlink ref="E97" r:id="paperLink97"/>
    <hyperlink ref="E98" r:id="paperLink98"/>
    <hyperlink ref="E99" r:id="paperLink99"/>
    <hyperlink ref="E100" r:id="paperLink100"/>
    <hyperlink ref="E101" r:id="paperLink101"/>
    <hyperlink ref="E102" r:id="paperLink102"/>
    <hyperlink ref="E103" r:id="paperLink103"/>
    <hyperlink ref="E104" r:id="paperLink104"/>
    <hyperlink ref="E105" r:id="paperLink105"/>
    <hyperlink ref="E106" r:id="paperLink106"/>
    <hyperlink ref="E107" r:id="paperLink107"/>
    <hyperlink ref="E108" r:id="paperLink108"/>
    <hyperlink ref="E109" r:id="paperLink109"/>
    <hyperlink ref="E110" r:id="paperLink110"/>
    <hyperlink ref="E111" r:id="paperLink111"/>
    <hyperlink ref="E112" r:id="paperLink112"/>
    <hyperlink ref="E113" r:id="paperLink113"/>
    <hyperlink ref="E114" r:id="paperLink114"/>
    <hyperlink ref="E115" r:id="paperLink115"/>
    <hyperlink ref="E116" r:id="paperLink116"/>
    <hyperlink ref="E117" r:id="paperLink117"/>
    <hyperlink ref="E118" r:id="paperLink118"/>
    <hyperlink ref="E119" r:id="paperLink119"/>
    <hyperlink ref="E120" r:id="paperLink120"/>
    <hyperlink ref="E121" r:id="paperLink121"/>
    <hyperlink ref="E122" r:id="paperLink122"/>
    <hyperlink ref="E123" r:id="paperLink123"/>
    <hyperlink ref="E124" r:id="paperLink124"/>
    <hyperlink ref="E125" r:id="paperLink125"/>
    <hyperlink ref="E126" r:id="paperLink126"/>
    <hyperlink ref="E127" r:id="paperLink127"/>
    <hyperlink ref="E128" r:id="paperLink128"/>
    <hyperlink ref="E129" r:id="paperLink129"/>
    <hyperlink ref="E130" r:id="paperLink130"/>
    <hyperlink ref="E131" r:id="paperLink131"/>
    <hyperlink ref="E132" r:id="paperLink132"/>
    <hyperlink ref="E133" r:id="paperLink133"/>
    <hyperlink ref="E134" r:id="paperLink134"/>
    <hyperlink ref="E135" r:id="paperLink135"/>
    <hyperlink ref="E136" r:id="paperLink136"/>
    <hyperlink ref="E137" r:id="paperLink137"/>
    <hyperlink ref="E138" r:id="paperLink138"/>
    <hyperlink ref="E139" r:id="paperLink139"/>
    <hyperlink ref="E140" r:id="paperLink140"/>
    <hyperlink ref="E141" r:id="paperLink141"/>
    <hyperlink ref="E142" r:id="paperLink142"/>
    <hyperlink ref="E143" r:id="paperLink143"/>
    <hyperlink ref="E144" r:id="paperLink144"/>
    <hyperlink ref="E145" r:id="paperLink145"/>
    <hyperlink ref="E146" r:id="paperLink146"/>
    <hyperlink ref="E147" r:id="paperLink147"/>
    <hyperlink ref="E148" r:id="paperLink148"/>
    <hyperlink ref="E149" r:id="paperLink149"/>
    <hyperlink ref="E150" r:id="paperLink150"/>
    <hyperlink ref="E151" r:id="paperLink151"/>
    <hyperlink ref="E152" r:id="paperLink152"/>
    <hyperlink ref="E153" r:id="paperLink153"/>
    <hyperlink ref="E154" r:id="paperLink154"/>
    <hyperlink ref="E155" r:id="paperLink155"/>
    <hyperlink ref="E156" r:id="paperLink156"/>
    <hyperlink ref="E157" r:id="paperLink157"/>
    <hyperlink ref="E158" r:id="paperLink158"/>
    <hyperlink ref="E159" r:id="paperLink159"/>
    <hyperlink ref="E160" r:id="paperLink160"/>
    <hyperlink ref="E161" r:id="paperLink161"/>
    <hyperlink ref="E162" r:id="paperLink162"/>
    <hyperlink ref="E163" r:id="paperLink163"/>
    <hyperlink ref="E164" r:id="paperLink164"/>
    <hyperlink ref="E165" r:id="paperLink165"/>
    <hyperlink ref="E166" r:id="paperLink166"/>
    <hyperlink ref="E167" r:id="paperLink167"/>
    <hyperlink ref="E168" r:id="paperLink168"/>
    <hyperlink ref="E169" r:id="paperLink169"/>
    <hyperlink ref="E170" r:id="paperLink170"/>
    <hyperlink ref="E171" r:id="paperLink171"/>
    <hyperlink ref="E172" r:id="paperLink172"/>
    <hyperlink ref="E173" r:id="paperLink173"/>
    <hyperlink ref="E174" r:id="paperLink174"/>
    <hyperlink ref="E175" r:id="paperLink175"/>
    <hyperlink ref="E176" r:id="paperLink176"/>
    <hyperlink ref="E177" r:id="paperLink177"/>
    <hyperlink ref="E178" r:id="paperLink178"/>
    <hyperlink ref="E179" r:id="paperLink179"/>
    <hyperlink ref="E180" r:id="paperLink180"/>
    <hyperlink ref="E181" r:id="paperLink181"/>
    <hyperlink ref="E182" r:id="paperLink182"/>
    <hyperlink ref="E183" r:id="paperLink183"/>
  </hyperlinks>
  <pageMargins left="0.7" right="0.7" top="0.75" bottom="0.75" header="0.3" footer="0.3"/>
  <tableParts count="1">
    <tablePart r:id="R2b6d2b82f1314e27"/>
  </tableParts>
</worksheet>
</file>

<file path=xl/worksheets/sheet12.xml><?xml version="1.0" encoding="utf-8"?>
<x:worksheet xmlns:r="http://schemas.openxmlformats.org/officeDocument/2006/relationships" xmlns:x="http://schemas.openxmlformats.org/spreadsheetml/2006/main">
  <x:sheetPr>
    <x:tabColor rgb="FF1F4E78"/>
  </x:sheetPr>
  <x:sheetViews>
    <x:sheetView showGridLines="0" workbookViewId="0">
      <x:pane xSplit="2" ySplit="8" topLeftCell="C9" activePane="bottomRight" state="frozen"/>
    </x:sheetView>
  </x:sheetViews>
  <x:sheetFormatPr defaultRowHeight="15"/>
  <x:cols>
    <x:col min="1" max="1" width="9" hidden="0" customWidth="1"/>
    <x:col min="2" max="2" width="25" hidden="0" customWidth="1"/>
    <x:col min="3" max="3" width="14" hidden="0" customWidth="1"/>
    <x:col min="4" max="4" width="76" hidden="0" customWidth="1"/>
    <x:col min="5" max="5" width="96" hidden="0" customWidth="1"/>
    <x:col min="6" max="6" width="48" hidden="0" customWidth="1"/>
    <x:col min="7" max="7" width="29" hidden="0" customWidth="1"/>
    <x:col min="8" max="8" width="23" hidden="0" customWidth="1"/>
  </x:cols>
  <x:sheetData>
    <x:row r="1" ht="25" customHeight="1">
      <x:c r="A1" s="67" t="str">
        <x:v>Current manuscript references</x:v>
      </x:c>
      <x:c r="B1" s="66"/>
      <x:c r="C1" s="66"/>
      <x:c r="D1" s="66"/>
      <x:c r="E1" s="66"/>
      <x:c r="F1" s="66"/>
      <x:c r="G1" s="66"/>
      <x:c r="H1" s="66"/>
    </x:row>
    <x:row r="2" ht="8" customHeight="1">
      <x:c r="A2" s="66"/>
      <x:c r="B2" s="66"/>
      <x:c r="C2" s="66"/>
      <x:c r="D2" s="66"/>
      <x:c r="E2" s="66"/>
      <x:c r="F2" s="66"/>
      <x:c r="G2" s="66"/>
      <x:c r="H2" s="66"/>
    </x:row>
    <x:row r="3" ht="31" customHeight="1">
      <x:c r="A3" s="66" t="str">
        <x:v>Cited sources</x:v>
      </x:c>
      <x:c r="B3" s="66"/>
      <x:c r="C3" s="69" t="n">
        <x:f>COUNTA(B9:B187)</x:f>
        <x:v>179</x:v>
      </x:c>
      <x:c r="D3" s="71" t="str">
        <x:v>References in the manuscript released on 1 October 2026.</x:v>
      </x:c>
      <x:c r="E3" s="66"/>
      <x:c r="F3" s="66"/>
      <x:c r="G3" s="66" t="str">
        <x:v>Paper sources</x:v>
      </x:c>
      <x:c r="H3" s="72" t="n">
        <x:f>COUNTIFS(G9:G187,"Paper")</x:f>
        <x:v>171</x:v>
      </x:c>
    </x:row>
    <x:row r="4" ht="31" customHeight="1">
      <x:c r="A4" s="66" t="str">
        <x:v>Pending decisions</x:v>
      </x:c>
      <x:c r="B4" s="66"/>
      <x:c r="C4" s="69" t="n">
        <x:f>COUNTIFS(H9:H187,"Pending")</x:f>
        <x:v>179</x:v>
      </x:c>
      <x:c r="D4" s="71" t="str">
        <x:v>Review decisions are Pending. Citation counts do not establish the 156-report included corpus.</x:v>
      </x:c>
      <x:c r="E4" s="66"/>
      <x:c r="F4" s="66"/>
      <x:c r="G4" s="66" t="str">
        <x:v>Other technical sources</x:v>
      </x:c>
      <x:c r="H4" s="72" t="n">
        <x:f>COUNTIFS(G9:G187,"Technical release / software")</x:f>
        <x:v>8</x:v>
      </x:c>
    </x:row>
    <x:row r="5" ht="31" customHeight="1">
      <x:c r="A5" s="66"/>
      <x:c r="B5" s="66"/>
      <x:c r="C5" s="66"/>
      <x:c r="D5" s="71" t="str">
        <x:v>The earlier 175-reference Cited Papers sheet is retained unchanged.</x:v>
      </x:c>
      <x:c r="E5" s="66"/>
      <x:c r="F5" s="66"/>
      <x:c r="G5" s="66"/>
      <x:c r="H5" s="66"/>
    </x:row>
    <x:row r="6" ht="9" customHeight="1">
      <x:c r="A6" s="66"/>
      <x:c r="B6" s="66"/>
      <x:c r="C6" s="66"/>
      <x:c r="D6" s="66"/>
      <x:c r="E6" s="66"/>
      <x:c r="F6" s="66"/>
      <x:c r="G6" s="66"/>
      <x:c r="H6" s="66"/>
    </x:row>
    <x:row r="7" ht="9" customHeight="1">
      <x:c r="A7" s="66"/>
      <x:c r="B7" s="66"/>
      <x:c r="C7" s="66"/>
      <x:c r="D7" s="66"/>
      <x:c r="E7" s="66"/>
      <x:c r="F7" s="66"/>
      <x:c r="G7" s="66"/>
      <x:c r="H7" s="66"/>
    </x:row>
    <x:row r="8" ht="32" customHeight="1">
      <x:c r="A8" s="77" t="str">
        <x:v>Ref.</x:v>
      </x:c>
      <x:c r="B8" s="77" t="str">
        <x:v>Citation key</x:v>
      </x:c>
      <x:c r="C8" s="77" t="str">
        <x:v>Year (as cited)</x:v>
      </x:c>
      <x:c r="D8" s="77" t="str">
        <x:v>Reference (as cited)</x:v>
      </x:c>
      <x:c r="E8" s="77" t="str">
        <x:v>Two-sentence summary</x:v>
      </x:c>
      <x:c r="F8" s="77" t="str">
        <x:v>Primary source link</x:v>
      </x:c>
      <x:c r="G8" s="77" t="str">
        <x:v>Source type</x:v>
      </x:c>
      <x:c r="H8" s="77" t="str">
        <x:v>Review decision</x:v>
      </x:c>
    </x:row>
    <x:row r="9" ht="72" customHeight="1">
      <x:c r="A9" s="79" t="n">
        <x:v>1</x:v>
      </x:c>
      <x:c r="B9" s="70" t="str">
        <x:v>rt2</x:v>
      </x:c>
      <x:c r="C9" s="79" t="n">
        <x:v>2023</x:v>
      </x:c>
      <x:c r="D9" s="70" t="str">
        <x:v>B. Zitkovich, T. Yu, S. Xu, P. Xu, T. Xiao, F. Xia, J. Wu, P. Wohlhart, S. Welker, A. Wahid et al., “RT-2: Vision-language-action models transfer web knowledge to robotic control,” in Proc. Conf. Robot Learn. (CoRL), 2023, arXiv:2307.15818.</x:v>
      </x:c>
      <x:c r="E9" s="70" t="str">
        <x:v>RT-2 represents robot actions as tokens and co-trains on robotic trajectories and vision-language tasks. It studies how knowledge learned from web data transfers into language-conditioned manipulation.</x:v>
      </x:c>
      <x:c r="F9" s="81" t="str">
        <x:v>https://arxiv.org/abs/2307.15818</x:v>
      </x:c>
      <x:c r="G9" s="70" t="str">
        <x:v>Paper</x:v>
      </x:c>
      <x:c r="H9" s="80" t="str">
        <x:v>Pending</x:v>
      </x:c>
    </x:row>
    <x:row r="10" ht="72" customHeight="1">
      <x:c r="A10" s="79" t="n">
        <x:v>2</x:v>
      </x:c>
      <x:c r="B10" s="70" t="str">
        <x:v>openvla</x:v>
      </x:c>
      <x:c r="C10" s="79" t="n">
        <x:v>2024</x:v>
      </x:c>
      <x:c r="D10" s="70" t="str">
        <x:v>M. J. Kim, K. Pertsch, S. Karamcheti, T. Xiao, A. Balakrishna, S. Nair, R. Rafailov, E. Foster, G. Lam, P. Sanketi et al., “OpenVLA: An open-source vision-language-action model,” in Proc. Conf. Robot Learn. (CoRL), 2024, arXiv:2406.09246.</x:v>
      </x:c>
      <x:c r="E10" s="70" t="str">
        <x:v>OpenVLA combines pretrained visual-language representations with autoregressive robot-action prediction in an open model. It provides a generalist manipulation policy that can be adapted to new tasks through fine-tuning.</x:v>
      </x:c>
      <x:c r="F10" s="81" t="str">
        <x:v>https://arxiv.org/abs/2406.09246</x:v>
      </x:c>
      <x:c r="G10" s="70" t="str">
        <x:v>Paper</x:v>
      </x:c>
      <x:c r="H10" s="80" t="str">
        <x:v>Pending</x:v>
      </x:c>
    </x:row>
    <x:row r="11" ht="62" customHeight="1">
      <x:c r="A11" s="79" t="n">
        <x:v>3</x:v>
      </x:c>
      <x:c r="B11" s="70" t="str">
        <x:v>oxe</x:v>
      </x:c>
      <x:c r="C11" s="79" t="n">
        <x:v>2024</x:v>
      </x:c>
      <x:c r="D11" s="70" t="str">
        <x:v>Open X-Embodiment Collaboration, “Open X-Embodiment: Robotic learning datasets and RT-X models,” in Proc. IEEE Int. Conf. Robot. Autom. (ICRA), 2024, arXiv:2310.08864.</x:v>
      </x:c>
      <x:c r="E11" s="70" t="str">
        <x:v>Open X-Embodiment brings together robot demonstration datasets collected across different embodiments. The accompanying RT-X models examine whether training on this combined data improves transfer between robotic platforms.</x:v>
      </x:c>
      <x:c r="F11" s="81" t="str">
        <x:v>https://arxiv.org/abs/2310.08864</x:v>
      </x:c>
      <x:c r="G11" s="70" t="str">
        <x:v>Paper</x:v>
      </x:c>
      <x:c r="H11" s="80" t="str">
        <x:v>Pending</x:v>
      </x:c>
    </x:row>
    <x:row r="12" ht="72" customHeight="1">
      <x:c r="A12" s="79" t="n">
        <x:v>4</x:v>
      </x:c>
      <x:c r="B12" s="70" t="str">
        <x:v>pi0</x:v>
      </x:c>
      <x:c r="C12" s="79" t="n">
        <x:v>2025</x:v>
      </x:c>
      <x:c r="D12" s="70" t="str">
        <x:v>K. Black, N. Brown, D. Driess, A. Esmail, M. Equi, C. Finn, N. Fusai, L. Groom, K. Hausman, B. Ichter et al., “π0: A vision-language-action flow model for general robot control,” in Proc. Robot.: Sci. Syst. (RSS), 2025, arXiv:2410.24164.</x:v>
      </x:c>
      <x:c r="E12" s="70" t="str">
        <x:v>The π0 model couples a pretrained vision-language backbone to a flow-matching action expert. It generates continuous action chunks for manipulation across tasks and robot embodiments.</x:v>
      </x:c>
      <x:c r="F12" s="81" t="str">
        <x:v>https://arxiv.org/abs/2410.24164</x:v>
      </x:c>
      <x:c r="G12" s="70" t="str">
        <x:v>Paper</x:v>
      </x:c>
      <x:c r="H12" s="80" t="str">
        <x:v>Pending</x:v>
      </x:c>
    </x:row>
    <x:row r="13" ht="62" customHeight="1">
      <x:c r="A13" s="79" t="n">
        <x:v>5</x:v>
      </x:c>
      <x:c r="B13" s="70" t="str">
        <x:v>groot</x:v>
      </x:c>
      <x:c r="C13" s="79" t="n">
        <x:v>2025</x:v>
      </x:c>
      <x:c r="D13" s="70" t="str">
        <x:v>J. Bjorck, F. Castañeda, N. Cherniadev, X. Da, R. Ding, L. Fan, Y. Fang, D. Fox, F. Hu, S. Huang et al., “GR00T N1: An open foundation model for generalist humanoid robots,” arXiv preprint arXiv:2503.14734, 2025.</x:v>
      </x:c>
      <x:c r="E13" s="70" t="str">
        <x:v>GR00T N1 combines vision-language interpretation with diffusion-based action generation for humanoid robots. Its dual-system design connects slower semantic processing with continuous control.</x:v>
      </x:c>
      <x:c r="F13" s="81" t="str">
        <x:v>https://arxiv.org/abs/2503.14734</x:v>
      </x:c>
      <x:c r="G13" s="70" t="str">
        <x:v>Paper</x:v>
      </x:c>
      <x:c r="H13" s="80" t="str">
        <x:v>Pending</x:v>
      </x:c>
    </x:row>
    <x:row r="14" ht="62" customHeight="1">
      <x:c r="A14" s="79" t="n">
        <x:v>6</x:v>
      </x:c>
      <x:c r="B14" s="70" t="str">
        <x:v>geminirobotics</x:v>
      </x:c>
      <x:c r="C14" s="79" t="n">
        <x:v>2025</x:v>
      </x:c>
      <x:c r="D14" s="70" t="str">
        <x:v>Gemini Robotics Team, “Gemini Robotics: Bringing AI into the physical world,” arXiv preprint arXiv:2503.20020, 2025, google DeepMind technical report.</x:v>
      </x:c>
      <x:c r="E14" s="70" t="str">
        <x:v>Gemini Robotics extends a Gemini vision-language model to generate robot actions from observations and instructions. The developer-reported study examines manipulation capabilities and transfer across embodiments.</x:v>
      </x:c>
      <x:c r="F14" s="81" t="str">
        <x:v>https://arxiv.org/abs/2503.20020</x:v>
      </x:c>
      <x:c r="G14" s="70" t="str">
        <x:v>Paper</x:v>
      </x:c>
      <x:c r="H14" s="80" t="str">
        <x:v>Pending</x:v>
      </x:c>
    </x:row>
    <x:row r="15" ht="62" customHeight="1">
      <x:c r="A15" s="79" t="n">
        <x:v>7</x:v>
      </x:c>
      <x:c r="B15" s="70" t="str">
        <x:v>gemini15</x:v>
      </x:c>
      <x:c r="C15" s="79" t="n">
        <x:v>2025</x:v>
      </x:c>
      <x:c r="D15" s="70" t="str">
        <x:v>–––, “Gemini Robotics 1.5: Pushing the frontier of generalist robots with advanced embodied reasoning, thinking, and motion transfer,” arXiv preprint arXiv:2510.03342, 2025, google DeepMind technical report.</x:v>
      </x:c>
      <x:c r="E15" s="70" t="str">
        <x:v>Gemini Robotics 1.5 integrates embodied reasoning with action generation in a multi-embodiment policy. The developer report also describes transferring motion knowledge across robot configurations.</x:v>
      </x:c>
      <x:c r="F15" s="81" t="str">
        <x:v>https://arxiv.org/abs/2510.03342</x:v>
      </x:c>
      <x:c r="G15" s="70" t="str">
        <x:v>Paper</x:v>
      </x:c>
      <x:c r="H15" s="80" t="str">
        <x:v>Pending</x:v>
      </x:c>
    </x:row>
    <x:row r="16" ht="62" customHeight="1">
      <x:c r="A16" s="79" t="n">
        <x:v>8</x:v>
      </x:c>
      <x:c r="B16" s="70" t="str">
        <x:v>openvlaoft</x:v>
      </x:c>
      <x:c r="C16" s="79" t="n">
        <x:v>2025</x:v>
      </x:c>
      <x:c r="D16" s="70" t="str">
        <x:v>M. J. Kim, C. Finn, and P. Liang, “Fine-tuning vision-language-action models: Optimizing speed and success,” arXiv preprint arXiv:2502.19645, 2025.</x:v>
      </x:c>
      <x:c r="E16" s="70" t="str">
        <x:v>OpenVLA-OFT studies fine-tuning choices for faster and more successful VLA control. Its recipe uses action chunking and parallel continuous regression instead of sequential action-token decoding.</x:v>
      </x:c>
      <x:c r="F16" s="81" t="str">
        <x:v>https://arxiv.org/abs/2502.19645</x:v>
      </x:c>
      <x:c r="G16" s="70" t="str">
        <x:v>Paper</x:v>
      </x:c>
      <x:c r="H16" s="80" t="str">
        <x:v>Pending</x:v>
      </x:c>
    </x:row>
    <x:row r="17" ht="62" customHeight="1">
      <x:c r="A17" s="79" t="n">
        <x:v>9</x:v>
      </x:c>
      <x:c r="B17" s="70" t="str">
        <x:v>liberoplus</x:v>
      </x:c>
      <x:c r="C17" s="79" t="n">
        <x:v>2025</x:v>
      </x:c>
      <x:c r="D17" s="70" t="str">
        <x:v>S. Fei, S. Wang, J. Shi, Z. Dai, J. Cai, P. Qian, L. Ji, X. He, S. Zhang, Z. Fei et al., “LIBERO-Plus: In-depth robustness analysis of vision-language-action models,” arXiv preprint arXiv:2510.13626, 2025.</x:v>
      </x:c>
      <x:c r="E17" s="70" t="str">
        <x:v>LIBERO-Plus probes manipulation policies with controlled visual, physical-configuration, and instruction perturbations. Its instruction-removal and goal-replacement tests distinguish apparent language robustness from reliable instruction grounding.</x:v>
      </x:c>
      <x:c r="F17" s="81" t="str">
        <x:v>https://arxiv.org/abs/2510.13626</x:v>
      </x:c>
      <x:c r="G17" s="70" t="str">
        <x:v>Paper</x:v>
      </x:c>
      <x:c r="H17" s="80" t="str">
        <x:v>Pending</x:v>
      </x:c>
    </x:row>
    <x:row r="18" ht="62" customHeight="1">
      <x:c r="A18" s="79" t="n">
        <x:v>10</x:v>
      </x:c>
      <x:c r="B18" s="70" t="str">
        <x:v>polaris</x:v>
      </x:c>
      <x:c r="C18" s="79" t="n">
        <x:v>2025</x:v>
      </x:c>
      <x:c r="D18" s="70" t="str">
        <x:v>A. Jain, M. Zhang, K. Arora, W. Chen, M. Torne, M. Z. Irshad, S. Zakharov, Y. Wang, S. Levine, C. Finn et al., “PolaRiS: Scalable real-to-sim evaluations for generalist robot policies,” arXiv preprint arXiv:2512.16881, 2025.</x:v>
      </x:c>
      <x:c r="E18" s="70" t="str">
        <x:v>PolaRiS reconstructs interactive simulation environments from short scans of real scenes for robot-policy evaluation. Paired simulated and physical tests examine how well these evaluations predict real-world performance.</x:v>
      </x:c>
      <x:c r="F18" s="81" t="str">
        <x:v>https://arxiv.org/abs/2512.16881</x:v>
      </x:c>
      <x:c r="G18" s="70" t="str">
        <x:v>Paper</x:v>
      </x:c>
      <x:c r="H18" s="80" t="str">
        <x:v>Pending</x:v>
      </x:c>
    </x:row>
    <x:row r="19" ht="72" customHeight="1">
      <x:c r="A19" s="79" t="n">
        <x:v>11</x:v>
      </x:c>
      <x:c r="B19" s="70" t="str">
        <x:v>simplevlarl</x:v>
      </x:c>
      <x:c r="C19" s="79" t="n">
        <x:v>2026</x:v>
      </x:c>
      <x:c r="D19" s="70" t="str">
        <x:v>H. Li, Y. Zuo, J. Yu, Y. Zhang, Z. Yang, K. Zhang, X. Zhu, Y. Zhang, T. Chen, G. Cui et al., “SimpleVLA-RL: Scaling VLA training via reinforcement learning,” in Proc. Int. Conf. Learn. Representations (ICLR), 2026, arXiv:2509.09674.</x:v>
      </x:c>
      <x:c r="E19" s="70" t="str">
        <x:v>SimpleVLA-RL adapts VLA policies through online reinforcement learning with stochastic action-token decoding. It evaluates how interaction changes performance under different demonstration budgets.</x:v>
      </x:c>
      <x:c r="F19" s="81" t="str">
        <x:v>https://arxiv.org/abs/2509.09674</x:v>
      </x:c>
      <x:c r="G19" s="70" t="str">
        <x:v>Paper</x:v>
      </x:c>
      <x:c r="H19" s="80" t="str">
        <x:v>Pending</x:v>
      </x:c>
    </x:row>
    <x:row r="20" ht="62" customHeight="1">
      <x:c r="A20" s="79" t="n">
        <x:v>12</x:v>
      </x:c>
      <x:c r="B20" s="70" t="str">
        <x:v>riptvla</x:v>
      </x:c>
      <x:c r="C20" s="79" t="n">
        <x:v>2025</x:v>
      </x:c>
      <x:c r="D20" s="70" t="str">
        <x:v>S. Tan, K. Dou, Y. Zhao, and P. Krähenbühl, “Interactive post-training for vision-language-action models,” arXiv preprint arXiv:2505.17016, 2025.</x:v>
      </x:c>
      <x:c r="E20" s="70" t="str">
        <x:v>RIPT-VLA fine-tunes pretrained robot policies through reinforcement learning with sparse task-success rewards. It studies interactive post-training of both lightweight and larger policies under limited supervision.</x:v>
      </x:c>
      <x:c r="F20" s="81" t="str">
        <x:v>https://arxiv.org/abs/2505.17016</x:v>
      </x:c>
      <x:c r="G20" s="70" t="str">
        <x:v>Paper</x:v>
      </x:c>
      <x:c r="H20" s="80" t="str">
        <x:v>Pending</x:v>
      </x:c>
    </x:row>
    <x:row r="21" ht="72" customHeight="1">
      <x:c r="A21" s="79" t="n">
        <x:v>13</x:v>
      </x:c>
      <x:c r="B21" s="70" t="str">
        <x:v>vjepa2</x:v>
      </x:c>
      <x:c r="C21" s="79" t="n">
        <x:v>2025</x:v>
      </x:c>
      <x:c r="D21" s="70" t="str">
        <x:v>M. Assran, A. Bardes, D. Fan, Q. Garrido, R. Howes, M. Komeili, M. Muckley, A. Rizvi, C. Roberts, K. Sinha et al., “V-JEPA 2: Self-supervised video models enable understanding, prediction and planning,” arXiv preprint arXiv:2506.09985, 2025.</x:v>
      </x:c>
      <x:c r="E21" s="70" t="str">
        <x:v>V-JEPA 2 learns predictive video representations from action-free video at scale. Its separately adapted V-JEPA 2-AC model predicts action-conditioned latent transitions for planning toward image goals.</x:v>
      </x:c>
      <x:c r="F21" s="81" t="str">
        <x:v>https://arxiv.org/abs/2506.09985</x:v>
      </x:c>
      <x:c r="G21" s="70" t="str">
        <x:v>Paper</x:v>
      </x:c>
      <x:c r="H21" s="80" t="str">
        <x:v>Pending</x:v>
      </x:c>
    </x:row>
    <x:row r="22" ht="62" customHeight="1">
      <x:c r="A22" s="79" t="n">
        <x:v>14</x:v>
      </x:c>
      <x:c r="B22" s="70" t="str">
        <x:v>dreamgen</x:v>
      </x:c>
      <x:c r="C22" s="79" t="n">
        <x:v>2025</x:v>
      </x:c>
      <x:c r="D22" s="70" t="str">
        <x:v>J. Jang, S. Ye, Z. Lin, J. Xiang, J. Bjorck, Y. Fang, F. Hu, S. Huang, K. Kundalia, Y.-C. Lin et al., “DreamGen: Unlocking generalization in robot learning through video world models,” arXiv preprint arXiv:2505.12705, 2025.</x:v>
      </x:c>
      <x:c r="E22" s="70" t="str">
        <x:v>DreamGen generates task-conditioned robot videos and obtains pseudo-action labels through inverse dynamics. The resulting synthetic trajectories augment policy training as an offline data-generation pipeline.</x:v>
      </x:c>
      <x:c r="F22" s="81" t="str">
        <x:v>https://arxiv.org/abs/2505.12705</x:v>
      </x:c>
      <x:c r="G22" s="70" t="str">
        <x:v>Paper</x:v>
      </x:c>
      <x:c r="H22" s="80" t="str">
        <x:v>Pending</x:v>
      </x:c>
    </x:row>
    <x:row r="23" ht="62" customHeight="1">
      <x:c r="A23" s="79" t="n">
        <x:v>15</x:v>
      </x:c>
      <x:c r="B23" s="70" t="str">
        <x:v>dreamer4</x:v>
      </x:c>
      <x:c r="C23" s="79" t="n">
        <x:v>2025</x:v>
      </x:c>
      <x:c r="D23" s="70" t="str">
        <x:v>D. Hafner, W. Yan, and T. Lillicrap, “Training agents inside of scalable world models,” arXiv preprint arXiv:2509.24527, 2025.</x:v>
      </x:c>
      <x:c r="E23" s="70" t="str">
        <x:v>Dreamer 4 trains agents inside a scalable video world model learned from offline data. Its main application is Minecraft, while separate ablations examine the amount of action-labeled video required for prediction.</x:v>
      </x:c>
      <x:c r="F23" s="81" t="str">
        <x:v>https://arxiv.org/abs/2509.24527</x:v>
      </x:c>
      <x:c r="G23" s="70" t="str">
        <x:v>Paper</x:v>
      </x:c>
      <x:c r="H23" s="80" t="str">
        <x:v>Pending</x:v>
      </x:c>
    </x:row>
    <x:row r="24" ht="62" customHeight="1">
      <x:c r="A24" s="79" t="n">
        <x:v>16</x:v>
      </x:c>
      <x:c r="B24" s="70" t="str">
        <x:v>worldvla</x:v>
      </x:c>
      <x:c r="C24" s="79" t="n">
        <x:v>2025</x:v>
      </x:c>
      <x:c r="D24" s="70" t="str">
        <x:v>J. Cen, C. Yu, H. Yuan, Y. Jiang, S. Huang, J. Guo, X. Li, Y. Song, H. Luo, F. Wang et al., “WorldVLA: Towards autoregressive action world model,” arXiv preprint arXiv:2506.21539, 2025.</x:v>
      </x:c>
      <x:c r="E24" s="70" t="str">
        <x:v>WorldVLA uses shared autoregressive modeling for robot actions and future observations. Its predictive-training experiments provide evidence about joint learning without establishing a general advantage for online candidate-action search.</x:v>
      </x:c>
      <x:c r="F24" s="81" t="str">
        <x:v>https://arxiv.org/abs/2506.21539</x:v>
      </x:c>
      <x:c r="G24" s="70" t="str">
        <x:v>Paper</x:v>
      </x:c>
      <x:c r="H24" s="80" t="str">
        <x:v>Pending</x:v>
      </x:c>
    </x:row>
    <x:row r="25" ht="72" customHeight="1">
      <x:c r="A25" s="79" t="n">
        <x:v>17</x:v>
      </x:c>
      <x:c r="B25" s="70" t="str">
        <x:v>cosmospolicy</x:v>
      </x:c>
      <x:c r="C25" s="79" t="n">
        <x:v>2026</x:v>
      </x:c>
      <x:c r="D25" s="70" t="str">
        <x:v>M. J. Kim, Y. Gao, T.-Y. Lin, Y.-C. Lin, Y. Ge, G. Lam, P. Liang, S. Song, M.-Y. Liu, C. Finn, and J. Gu, “Cosmos Policy: Fine-tuning video models for visuomotor control and planning,” in Proc. Int. Conf. Learn. Representations (ICLR), 2026, arXiv:2601.16163.</x:v>
      </x:c>
      <x:c r="E25" s="70" t="str">
        <x:v>Cosmos Policy adapts a video model to jointly generate actions, future states, and values. It evaluates direct visuomotor execution alongside rollout refinement and candidate selection for planning.</x:v>
      </x:c>
      <x:c r="F25" s="81" t="str">
        <x:v>https://arxiv.org/abs/2601.16163</x:v>
      </x:c>
      <x:c r="G25" s="70" t="str">
        <x:v>Paper</x:v>
      </x:c>
      <x:c r="H25" s="80" t="str">
        <x:v>Pending</x:v>
      </x:c>
    </x:row>
    <x:row r="26" ht="62" customHeight="1">
      <x:c r="A26" s="79" t="n">
        <x:v>18</x:v>
      </x:c>
      <x:c r="B26" s="70" t="str">
        <x:v>ma2024survey</x:v>
      </x:c>
      <x:c r="C26" s="79" t="n">
        <x:v>2026</x:v>
      </x:c>
      <x:c r="D26" s="70" t="str">
        <x:v>Y. Ma, Z. Song, Y. Zhuang, J. Hao, and I. King, “A survey on vision-language-action models for embodied AI,” IEEE Trans. Neural Netw. Learn. Syst., 2026, arXiv:2405.14093.</x:v>
      </x:c>
      <x:c r="E26" s="70" t="str">
        <x:v>This survey organizes VLA research into model components, low-level control policies, and high-level task planners. It also reviews datasets, simulators, and benchmarks that support language-conditioned embodied action.</x:v>
      </x:c>
      <x:c r="F26" s="81" t="str">
        <x:v>https://arxiv.org/abs/2405.14093</x:v>
      </x:c>
      <x:c r="G26" s="70" t="str">
        <x:v>Paper</x:v>
      </x:c>
      <x:c r="H26" s="80" t="str">
        <x:v>Pending</x:v>
      </x:c>
    </x:row>
    <x:row r="27" ht="62" customHeight="1">
      <x:c r="A27" s="79" t="n">
        <x:v>19</x:v>
      </x:c>
      <x:c r="B27" s="70" t="str">
        <x:v>zhong2025token</x:v>
      </x:c>
      <x:c r="C27" s="79" t="n">
        <x:v>2025</x:v>
      </x:c>
      <x:c r="D27" s="70" t="str">
        <x:v>Y. Zhong, F. Bai, S. Cai, X. Huang, Z. Chen, X. Zhang, Y. Wang, S. Guo, T. Guan, K. N. Lui et al., “A survey on vision-language-action models: An action tokenization perspective,” arXiv preprint arXiv:2507.01925, 2025.</x:v>
      </x:c>
      <x:c r="E27" s="70" t="str">
        <x:v>This survey compares VLA systems through the intermediate representations used to express actions. Its tokenization taxonomy spans language, code, affordances, trajectories, goals, latent codes, raw actions, and reasoning.</x:v>
      </x:c>
      <x:c r="F27" s="81" t="str">
        <x:v>https://arxiv.org/abs/2507.01925</x:v>
      </x:c>
      <x:c r="G27" s="70" t="str">
        <x:v>Paper</x:v>
      </x:c>
      <x:c r="H27" s="80" t="str">
        <x:v>Pending</x:v>
      </x:c>
    </x:row>
    <x:row r="28" ht="62" customHeight="1">
      <x:c r="A28" s="79" t="n">
        <x:v>20</x:v>
      </x:c>
      <x:c r="B28" s="70" t="str">
        <x:v>kawaharazuka2025</x:v>
      </x:c>
      <x:c r="C28" s="79" t="n">
        <x:v>2025</x:v>
      </x:c>
      <x:c r="D28" s="70" t="str">
        <x:v>K. Kawaharazuka, J. Oh, J. Yamada, I. Posner, and Y. Zhu, “Vision-language-action models for robotics: A review towards real-world applications,” IEEE Access, vol. 13, pp. 162467–162504, 2025.</x:v>
      </x:c>
      <x:c r="E28" s="70" t="str">
        <x:v>This review connects VLA architectures and learning methods with the practical requirements of robot deployment. It covers hardware platforms, data collection, augmentation, datasets, and evaluation alongside model design.</x:v>
      </x:c>
      <x:c r="F28" s="81" t="str">
        <x:v>https://arxiv.org/abs/2510.07077</x:v>
      </x:c>
      <x:c r="G28" s="70" t="str">
        <x:v>Paper</x:v>
      </x:c>
      <x:c r="H28" s="80" t="str">
        <x:v>Pending</x:v>
      </x:c>
    </x:row>
    <x:row r="29" ht="62" customHeight="1">
      <x:c r="A29" s="79" t="n">
        <x:v>21</x:v>
      </x:c>
      <x:c r="B29" s="70" t="str">
        <x:v>din2025priorvlasurvey</x:v>
      </x:c>
      <x:c r="C29" s="79" t="n">
        <x:v>2026</x:v>
      </x:c>
      <x:c r="D29" s="70" t="str">
        <x:v>M. U. Din, W. Akram, L. S. Saoud, J. Rosell, and I. Hussain, “Multimodal fusion with vision-language-action models for robotic manipulation: A systematic review,” Information Fusion, vol. 129, p. 104062, 2026.</x:v>
      </x:c>
      <x:c r="E29" s="70" t="str">
        <x:v>This systematic review organizes manipulation VLAs by multimodal fusion strategies, architectures, datasets, and evaluation resources. It also develops an agentic outlook in which planners use VLA skills with verification and diagnostic feedback.</x:v>
      </x:c>
      <x:c r="F29" s="81" t="str">
        <x:v>https://doi.org/10.1016/j.inffus.2025.104062</x:v>
      </x:c>
      <x:c r="G29" s="70" t="str">
        <x:v>Paper</x:v>
      </x:c>
      <x:c r="H29" s="80" t="str">
        <x:v>Pending</x:v>
      </x:c>
    </x:row>
    <x:row r="30" ht="62" customHeight="1">
      <x:c r="A30" s="79" t="n">
        <x:v>22</x:v>
      </x:c>
      <x:c r="B30" s="70" t="str">
        <x:v>hou2026wm</x:v>
      </x:c>
      <x:c r="C30" s="79" t="n">
        <x:v>2026</x:v>
      </x:c>
      <x:c r="D30" s="70" t="str">
        <x:v>B. Hou, G. Li, J. Jia, T. An, X. Guo, S. Leng, H. Geng, Y. Ze, T. Harada, P. Torr et al., “World model for robot learning: A comprehensive survey,” arXiv preprint arXiv:2605.00080, 2026.</x:v>
      </x:c>
      <x:c r="E30" s="70" t="str">
        <x:v>This survey reviews world models according to their roles in robot-policy learning, planning, simulation, data generation, and evaluation. It relates policy coupling and controllable video prediction to datasets and experimental protocols across embodied domains.</x:v>
      </x:c>
      <x:c r="F30" s="81" t="str">
        <x:v>https://arxiv.org/abs/2605.00080</x:v>
      </x:c>
      <x:c r="G30" s="70" t="str">
        <x:v>Paper</x:v>
      </x:c>
      <x:c r="H30" s="80" t="str">
        <x:v>Pending</x:v>
      </x:c>
    </x:row>
    <x:row r="31" ht="62" customHeight="1">
      <x:c r="A31" s="79" t="n">
        <x:v>23</x:v>
      </x:c>
      <x:c r="B31" s="70" t="str">
        <x:v>li2025wm</x:v>
      </x:c>
      <x:c r="C31" s="79" t="n">
        <x:v>2025</x:v>
      </x:c>
      <x:c r="D31" s="70" t="str">
        <x:v>X. Li, X. He, L. Zhang, M. Wu, X. Li, and Y. Liu, “A comprehensive survey on world models for embodied AI,” arXiv preprint arXiv:2510.16732, 2025.</x:v>
      </x:c>
      <x:c r="E31" s="70" t="str">
        <x:v>This survey classifies embodied world models by functionality, temporal modeling, and spatial representation. It compares data resources and evaluation criteria while emphasizing physical consistency, temporal coherence, and computational cost.</x:v>
      </x:c>
      <x:c r="F31" s="81" t="str">
        <x:v>https://arxiv.org/abs/2510.16732</x:v>
      </x:c>
      <x:c r="G31" s="70" t="str">
        <x:v>Paper</x:v>
      </x:c>
      <x:c r="H31" s="80" t="str">
        <x:v>Pending</x:v>
      </x:c>
    </x:row>
    <x:row r="32" ht="72" customHeight="1">
      <x:c r="A32" s="79" t="n">
        <x:v>24</x:v>
      </x:c>
      <x:c r="B32" s="70" t="str">
        <x:v>wang2026manipwmsurvey</x:v>
      </x:c>
      <x:c r="C32" s="79" t="n">
        <x:v>2026</x:v>
      </x:c>
      <x:c r="D32" s="70" t="str">
        <x:v>F. Wang, Z. Wang, G. Pei, M. Zhang, C. Liang, J. Hu, Z. Li, J. Wu, N. Han, Z. Zhang, J. Qi, H. Wu, S. Zhang, P. Zheng, J. Pan, D. Navarro-Alarcon, S. Liu, and P. Zhou, “World models for robotic manipulation: A survey,” arXiv preprint arXiv:2606.00113, 2026.</x:v>
      </x:c>
      <x:c r="E32" s="70" t="str">
        <x:v>This manipulation-focused survey separates predicted representations, action coupling, and the stage at which prediction is used. It distinguishes integrated prediction-action systems from explicit planners and examines evaluation of predictive fidelity and control utility.</x:v>
      </x:c>
      <x:c r="F32" s="81" t="str">
        <x:v>https://arxiv.org/abs/2606.00113</x:v>
      </x:c>
      <x:c r="G32" s="70" t="str">
        <x:v>Paper</x:v>
      </x:c>
      <x:c r="H32" s="80" t="str">
        <x:v>Pending</x:v>
      </x:c>
    </x:row>
    <x:row r="33" ht="62" customHeight="1">
      <x:c r="A33" s="79" t="n">
        <x:v>25</x:v>
      </x:c>
      <x:c r="B33" s="70" t="str">
        <x:v>wamfrontier</x:v>
      </x:c>
      <x:c r="C33" s="79" t="n">
        <x:v>2026</x:v>
      </x:c>
      <x:c r="D33" s="70" t="str">
        <x:v>S. Wang, J. Shi, Z. Fu, X. He, F. Liu, C. Yang, Y. Zhou, Z. Fei, J. Gong, J. Fu, M. Z. Shou, X. Huang, X. Qiu, and Y.-G. Jiang, “World action models: The next frontier in embodied AI,” arXiv preprint arXiv:2605.12090, 2026.</x:v>
      </x:c>
      <x:c r="E33" s="70" t="str">
        <x:v>This survey describes world-action models as systems that combine predictive state modeling with action generation. It distinguishes cascaded and joint architectures and reviews their data requirements and evaluation dimensions.</x:v>
      </x:c>
      <x:c r="F33" s="81" t="str">
        <x:v>https://arxiv.org/abs/2605.12090</x:v>
      </x:c>
      <x:c r="G33" s="70" t="str">
        <x:v>Paper</x:v>
      </x:c>
      <x:c r="H33" s="80" t="str">
        <x:v>Pending</x:v>
      </x:c>
    </x:row>
    <x:row r="34" ht="62" customHeight="1">
      <x:c r="A34" s="79" t="n">
        <x:v>26</x:v>
      </x:c>
      <x:c r="B34" s="70" t="str">
        <x:v>wamsurvey</x:v>
      </x:c>
      <x:c r="C34" s="79" t="n">
        <x:v>2026</x:v>
      </x:c>
      <x:c r="D34" s="70" t="str">
        <x:v>Q. Shen, S. Zhang, Y. Liao, Q. Li, Z. Tan, S. Wang, others, and X. Wang, “World action models: A survey,” arXiv preprint arXiv:2606.20781, 2026.</x:v>
      </x:c>
      <x:c r="E34" s="70" t="str">
        <x:v>This survey distinguishes world-action models by the futures they generate and how prediction is connected to actions. It compares predictive representations, backbones, deployment modes, and the trade-offs between forecast detail and control cost.</x:v>
      </x:c>
      <x:c r="F34" s="81" t="str">
        <x:v>https://arxiv.org/abs/2606.20781</x:v>
      </x:c>
      <x:c r="G34" s="70" t="str">
        <x:v>Paper</x:v>
      </x:c>
      <x:c r="H34" s="80" t="str">
        <x:v>Pending</x:v>
      </x:c>
    </x:row>
    <x:row r="35" ht="62" customHeight="1">
      <x:c r="A35" s="79" t="n">
        <x:v>27</x:v>
      </x:c>
      <x:c r="B35" s="70" t="str">
        <x:v>sapkota2025</x:v>
      </x:c>
      <x:c r="C35" s="79" t="n">
        <x:v>2025</x:v>
      </x:c>
      <x:c r="D35" s="70" t="str">
        <x:v>R. Sapkota, Y. Cao, K. I. Roumeliotis, and M. Karkee, “Vision-language-action models: Concepts, progress, applications and challenges,” arXiv preprint arXiv:2505.04769, 2025.</x:v>
      </x:c>
      <x:c r="E35" s="70" t="str">
        <x:v>This review introduces VLA concepts and surveys architectures, training strategies, and inference methods. It examines applications across robotic domains and discusses adaptation and cross-embodiment planning challenges.</x:v>
      </x:c>
      <x:c r="F35" s="81" t="str">
        <x:v>https://arxiv.org/abs/2505.04769</x:v>
      </x:c>
      <x:c r="G35" s="70" t="str">
        <x:v>Paper</x:v>
      </x:c>
      <x:c r="H35" s="80" t="str">
        <x:v>Pending</x:v>
      </x:c>
    </x:row>
    <x:row r="36" ht="62" customHeight="1">
      <x:c r="A36" s="79" t="n">
        <x:v>28</x:v>
      </x:c>
      <x:c r="B36" s="70" t="str">
        <x:v>shao2025</x:v>
      </x:c>
      <x:c r="C36" s="79" t="n">
        <x:v>2025</x:v>
      </x:c>
      <x:c r="D36" s="70" t="str">
        <x:v>R. Shao, W. Li, L. Zhang, R. Zhang, Z. Liu, R. Chen, and L. Nie, “Large VLM-based vision-language-action models for robotic manipulation: A survey,” arXiv preprint arXiv:2508.13073, 2025.</x:v>
      </x:c>
      <x:c r="E36" s="70" t="str">
        <x:v>This survey focuses on manipulation policies built on large pretrained vision-language models. It distinguishes monolithic and hierarchical architectures and reviews connections with reinforcement learning, human video, and world models.</x:v>
      </x:c>
      <x:c r="F36" s="81" t="str">
        <x:v>https://arxiv.org/abs/2508.13073</x:v>
      </x:c>
      <x:c r="G36" s="70" t="str">
        <x:v>Paper</x:v>
      </x:c>
      <x:c r="H36" s="80" t="str">
        <x:v>Pending</x:v>
      </x:c>
    </x:row>
    <x:row r="37" ht="62" customHeight="1">
      <x:c r="A37" s="79" t="n">
        <x:v>29</x:v>
      </x:c>
      <x:c r="B37" s="70" t="str">
        <x:v>yu2025efficient</x:v>
      </x:c>
      <x:c r="C37" s="79" t="n">
        <x:v>2025</x:v>
      </x:c>
      <x:c r="D37" s="70" t="str">
        <x:v>Z. Yu, B. Wang, P. Zeng, H. Zhang, J. Zhang, Z. Wang, L. Gao, J. Song, N. Sebe, and H. T. Shen, “A survey on efficient vision-language-action models,” arXiv preprint arXiv:2510.24795, 2025.</x:v>
      </x:c>
      <x:c r="E37" s="70" t="str">
        <x:v>This survey organizes VLA efficiency research around model design, training, and robotic-data collection. It compares architectural compression and other resource-saving strategies across the learning and deployment pipeline.</x:v>
      </x:c>
      <x:c r="F37" s="81" t="str">
        <x:v>https://arxiv.org/abs/2510.24795</x:v>
      </x:c>
      <x:c r="G37" s="70" t="str">
        <x:v>Paper</x:v>
      </x:c>
      <x:c r="H37" s="80" t="str">
        <x:v>Pending</x:v>
      </x:c>
    </x:row>
    <x:row r="38" ht="62" customHeight="1">
      <x:c r="A38" s="79" t="n">
        <x:v>30</x:v>
      </x:c>
      <x:c r="B38" s="70" t="str">
        <x:v>deng2025rl</x:v>
      </x:c>
      <x:c r="C38" s="79" t="n">
        <x:v>2025</x:v>
      </x:c>
      <x:c r="D38" s="70" t="str">
        <x:v>Deng et al., “A survey on reinforcement learning of vision-language-action models for robotic manipulation,” TechRxiv, 2025.</x:v>
      </x:c>
      <x:c r="E38" s="70" t="str">
        <x:v>This survey reviews reinforcement learning for adapting pretrained VLA models to robotic manipulation. It organizes architectures, online and offline learning, deployment considerations, and evaluation within a shared training-to-deployment framework.</x:v>
      </x:c>
      <x:c r="F38" s="81" t="str">
        <x:v>https://doi.org/10.36227/techrxiv.176531955.54563920/v1</x:v>
      </x:c>
      <x:c r="G38" s="70" t="str">
        <x:v>Paper</x:v>
      </x:c>
      <x:c r="H38" s="80" t="str">
        <x:v>Pending</x:v>
      </x:c>
    </x:row>
    <x:row r="39" ht="62" customHeight="1">
      <x:c r="A39" s="79" t="n">
        <x:v>31</x:v>
      </x:c>
      <x:c r="B39" s="70" t="str">
        <x:v>feng2025</x:v>
      </x:c>
      <x:c r="C39" s="79" t="n">
        <x:v>2025</x:v>
      </x:c>
      <x:c r="D39" s="70" t="str">
        <x:v>T. Feng, X. Wang, Y.-G. Jiang, and W. Zhu, “Embodied AI: From LLMs to world models,” IEEE Circuits Syst. Mag., vol. 25, no. 4, pp. 14–37, 2025, arXiv:2509.20021.</x:v>
      </x:c>
      <x:c r="E39" s="70" t="str">
        <x:v>This review contrasts the semantic reasoning provided by language models with the predictive capabilities of world models in embodied AI. It argues for combining these capabilities and surveys supporting technologies, hardware, and applications.</x:v>
      </x:c>
      <x:c r="F39" s="81" t="str">
        <x:v>https://arxiv.org/abs/2509.20021</x:v>
      </x:c>
      <x:c r="G39" s="70" t="str">
        <x:v>Paper</x:v>
      </x:c>
      <x:c r="H39" s="80" t="str">
        <x:v>Pending</x:v>
      </x:c>
    </x:row>
    <x:row r="40" ht="62" customHeight="1">
      <x:c r="A40" s="79" t="n">
        <x:v>32</x:v>
      </x:c>
      <x:c r="B40" s="70" t="str">
        <x:v>zhang2025generative</x:v>
      </x:c>
      <x:c r="C40" s="79" t="n">
        <x:v>2025</x:v>
      </x:c>
      <x:c r="D40" s="70" t="str">
        <x:v>K. Zhang, P. Yun, J. Cen, J. Cai, D. Zhu, H. Yuan, C. Zhao, T. Feng, M. Y. Wang, Q. Chen et al., “Generative artificial intelligence in robotic manipulation: A survey,” arXiv preprint arXiv:2503.03464, 2025.</x:v>
      </x:c>
      <x:c r="E40" s="70" t="str">
        <x:v>This survey reviews generative models used for robotic data, rewards, intermediate plans, and control outputs. Its layered taxonomy relates data generation and task reasoning to grasp and trajectory generation.</x:v>
      </x:c>
      <x:c r="F40" s="81" t="str">
        <x:v>https://arxiv.org/abs/2503.03464</x:v>
      </x:c>
      <x:c r="G40" s="70" t="str">
        <x:v>Paper</x:v>
      </x:c>
      <x:c r="H40" s="80" t="str">
        <x:v>Pending</x:v>
      </x:c>
    </x:row>
    <x:row r="41" ht="72" customHeight="1">
      <x:c r="A41" s="79" t="n">
        <x:v>33</x:v>
      </x:c>
      <x:c r="B41" s="70" t="str">
        <x:v>ding2025worldsurvey</x:v>
      </x:c>
      <x:c r="C41" s="79" t="n">
        <x:v>2025</x:v>
      </x:c>
      <x:c r="D41" s="70" t="str">
        <x:v>J. Ding, Y. Zhang, Y. Shang, Y. Zhang, Z. Zong, J. Feng, Y. Yuan, H. Su, N. Li, N. Sukiennik et al., “Understanding world or predicting future? A comprehensive survey of world models,” ACM Comput. Surv., vol. 58, no. 3, pp. 1–38, 2025.</x:v>
      </x:c>
      <x:c r="E41" s="70" t="str">
        <x:v>This survey distinguishes world models that construct internal representations from those that simulate future states. It reviews these roles across robotics, autonomous driving, and other domains and identifies open modeling challenges.</x:v>
      </x:c>
      <x:c r="F41" s="81" t="str">
        <x:v>https://doi.org/10.1145/3746449</x:v>
      </x:c>
      <x:c r="G41" s="70" t="str">
        <x:v>Paper</x:v>
      </x:c>
      <x:c r="H41" s="80" t="str">
        <x:v>Pending</x:v>
      </x:c>
    </x:row>
    <x:row r="42" ht="62" customHeight="1">
      <x:c r="A42" s="79" t="n">
        <x:v>34</x:v>
      </x:c>
      <x:c r="B42" s="70" t="str">
        <x:v>li2025step</x:v>
      </x:c>
      <x:c r="C42" s="79" t="n">
        <x:v>2025</x:v>
      </x:c>
      <x:c r="D42" s="70" t="str">
        <x:v>X. Li et al., “A step toward world models: A survey on robotic manipulation,” arXiv preprint arXiv:2511.02097, 2025.</x:v>
      </x:c>
      <x:c r="E42" s="70" t="str">
        <x:v>This survey examines manipulation methods that exhibit world-model capabilities, including approaches not explicitly labeled as world models. It uses their roles in perception, prediction, and control to identify the components needed for broader predictive robotics.</x:v>
      </x:c>
      <x:c r="F42" s="81" t="str">
        <x:v>https://arxiv.org/abs/2511.02097</x:v>
      </x:c>
      <x:c r="G42" s="70" t="str">
        <x:v>Paper</x:v>
      </x:c>
      <x:c r="H42" s="80" t="str">
        <x:v>Pending</x:v>
      </x:c>
    </x:row>
    <x:row r="43" ht="72" customHeight="1">
      <x:c r="A43" s="79" t="n">
        <x:v>35</x:v>
      </x:c>
      <x:c r="B43" s="70" t="str">
        <x:v>jiang2025driving</x:v>
      </x:c>
      <x:c r="C43" s="79" t="n">
        <x:v>2025</x:v>
      </x:c>
      <x:c r="D43" s="70" t="str">
        <x:v>Jiang et al., “A survey on vision-language-action models for autonomous driving,” in Proc. IEEE/CVF Int. Conf. Comput. Vis. Workshops (ICCVW), WDFM-AD, 2025.</x:v>
      </x:c>
      <x:c r="E43" s="70" t="str">
        <x:v>This survey reviews vision-language-action architectures for autonomous driving, including their progression toward reasoning-centered control. It compares vehicle-domain datasets and evaluation concerns such as safety, instruction following, and explanation quality.</x:v>
      </x:c>
      <x:c r="F43" s="81" t="str">
        <x:v>https://openaccess.thecvf.com/content/ICCV2025W/WDFM-AD/html/Jiang_A_Survey_on_Vision-Language-Action_Models_for_Autonomous_Driving_ICCVW_2025_paper.html</x:v>
      </x:c>
      <x:c r="G43" s="70" t="str">
        <x:v>Paper</x:v>
      </x:c>
      <x:c r="H43" s="80" t="str">
        <x:v>Pending</x:v>
      </x:c>
    </x:row>
    <x:row r="44" ht="62" customHeight="1">
      <x:c r="A44" s="79" t="n">
        <x:v>36</x:v>
      </x:c>
      <x:c r="B44" s="70" t="str">
        <x:v>zhang2025pure</x:v>
      </x:c>
      <x:c r="C44" s="79" t="n">
        <x:v>2025</x:v>
      </x:c>
      <x:c r="D44" s="70" t="str">
        <x:v>D. Zhang, J. Sun, C. Hu, X. Wu, Z. Yuan, R. Zhou, F. Shen, and Q. Zhou, “Pure vision language action (VLA) models: A comprehensive survey,” arXiv preprint arXiv:2509.19012, 2025.</x:v>
      </x:c>
      <x:c r="E44" s="70" t="str">
        <x:v>This survey classifies VLA methods into autoregressive, diffusion, reinforcement-learning, hybrid, and specialized approaches. It connects these design choices to application scenarios, datasets, benchmarks, and simulators.</x:v>
      </x:c>
      <x:c r="F44" s="81" t="str">
        <x:v>https://arxiv.org/abs/2509.19012</x:v>
      </x:c>
      <x:c r="G44" s="70" t="str">
        <x:v>Paper</x:v>
      </x:c>
      <x:c r="H44" s="80" t="str">
        <x:v>Pending</x:v>
      </x:c>
    </x:row>
    <x:row r="45" ht="72" customHeight="1">
      <x:c r="A45" s="79" t="n">
        <x:v>37</x:v>
      </x:c>
      <x:c r="B45" s="70" t="str">
        <x:v>prisma2020</x:v>
      </x:c>
      <x:c r="C45" s="79" t="n">
        <x:v>2021</x:v>
      </x:c>
      <x:c r="D45" s="70" t="str">
        <x:v>M. J. Page, J. E. McKenzie, P. M. Bossuyt, I. Boutron, T. C. Hoffmann, C. D. Mulrow, L. Shamseer, J. M. Tetzlaff, E. A. Akl, S. E. Brennan et al., “The PRISMA 2020 statement: An updated guideline for reporting systematic reviews,” BMJ, vol. 372, p. n71, 2021.</x:v>
      </x:c>
      <x:c r="E45" s="70" t="str">
        <x:v>The PRISMA 2020 statement provides reporting guidance for systematic reviews through checklists and flow-diagram templates. It supports transparent reporting of searches, selection, synthesis, and limitations rather than certifying that a review was conducted correctly.</x:v>
      </x:c>
      <x:c r="F45" s="81" t="str">
        <x:v>https://doi.org/10.1136/bmj.n71</x:v>
      </x:c>
      <x:c r="G45" s="70" t="str">
        <x:v>Paper</x:v>
      </x:c>
      <x:c r="H45" s="80" t="str">
        <x:v>Pending</x:v>
      </x:c>
    </x:row>
    <x:row r="46" ht="72" customHeight="1">
      <x:c r="A46" s="79" t="n">
        <x:v>38</x:v>
      </x:c>
      <x:c r="B46" s="70" t="str">
        <x:v>rt1</x:v>
      </x:c>
      <x:c r="C46" s="79" t="n">
        <x:v>2022</x:v>
      </x:c>
      <x:c r="D46" s="70" t="str">
        <x:v>A. Brohan, N. Brown, J. Carbajal, Y. Chebotar, J. Dabis, C. Finn, K. Gopalakrishnan, K. Hausman, A. Herzog, J. Hsu et al., “RT-1: Robotics transformer for real-world control at scale,” arXiv preprint arXiv:2212.06817, 2022, published RSS 2023.</x:v>
      </x:c>
      <x:c r="E46" s="70" t="str">
        <x:v>RT-1 maps camera observations and language instructions to discretized robot commands using a transformer policy. It is an early language-conditioned control precursor to later VLA foundation models.</x:v>
      </x:c>
      <x:c r="F46" s="81" t="str">
        <x:v>https://arxiv.org/abs/2212.06817</x:v>
      </x:c>
      <x:c r="G46" s="70" t="str">
        <x:v>Paper</x:v>
      </x:c>
      <x:c r="H46" s="80" t="str">
        <x:v>Pending</x:v>
      </x:c>
    </x:row>
    <x:row r="47" ht="72" customHeight="1">
      <x:c r="A47" s="79" t="n">
        <x:v>39</x:v>
      </x:c>
      <x:c r="B47" s="70" t="str">
        <x:v>vima</x:v>
      </x:c>
      <x:c r="C47" s="79" t="n">
        <x:v>2023</x:v>
      </x:c>
      <x:c r="D47" s="70" t="str">
        <x:v>Y. Jiang, A. Gupta, Z. Zhang, G. Wang, Y. Dou, Y. Chen, L. Fei-Fei, A. Anandkumar, Y. Zhu, and L. Fan, “VIMA: General robot manipulation with multimodal prompts,” in International Conference on Machine Learning (ICML), 2023, arXiv:2210.03094.</x:v>
      </x:c>
      <x:c r="E47" s="70" t="str">
        <x:v>VIMA specifies manipulation tasks using prompts that interleave text and images. A transformer policy converts these multimodal task descriptions and observations into robot actions.</x:v>
      </x:c>
      <x:c r="F47" s="81" t="str">
        <x:v>https://arxiv.org/abs/2210.03094</x:v>
      </x:c>
      <x:c r="G47" s="70" t="str">
        <x:v>Paper</x:v>
      </x:c>
      <x:c r="H47" s="80" t="str">
        <x:v>Pending</x:v>
      </x:c>
    </x:row>
    <x:row r="48" ht="72" customHeight="1">
      <x:c r="A48" s="79" t="n">
        <x:v>40</x:v>
      </x:c>
      <x:c r="B48" s="70" t="str">
        <x:v>roboflamingo</x:v>
      </x:c>
      <x:c r="C48" s="79" t="n">
        <x:v>2024</x:v>
      </x:c>
      <x:c r="D48" s="70" t="str">
        <x:v>X. Li, M. Liu, H. Zhang, C. Yu, J. Xu, H. Wu, C. Cheang, Y. Jing, W. Zhang, H. Liu et al., “Vision-language foundation models as effective robot imitators,” in Proc. Int. Conf. Learn. Representations (ICLR), 2024, arXiv:2311.01378.</x:v>
      </x:c>
      <x:c r="E48" s="70" t="str">
        <x:v>RoboFlamingo adapts a pretrained OpenFlamingo vision-language model for robot imitation learning. An action-prediction interface connects multimodal understanding to language-conditioned manipulation.</x:v>
      </x:c>
      <x:c r="F48" s="81" t="str">
        <x:v>https://arxiv.org/abs/2311.01378</x:v>
      </x:c>
      <x:c r="G48" s="70" t="str">
        <x:v>Paper</x:v>
      </x:c>
      <x:c r="H48" s="80" t="str">
        <x:v>Pending</x:v>
      </x:c>
    </x:row>
    <x:row r="49" ht="62" customHeight="1">
      <x:c r="A49" s="79" t="n">
        <x:v>41</x:v>
      </x:c>
      <x:c r="B49" s="70" t="str">
        <x:v>llarva</x:v>
      </x:c>
      <x:c r="C49" s="79" t="n">
        <x:v>2024</x:v>
      </x:c>
      <x:c r="D49" s="70" t="str">
        <x:v>D. Niu, Y. Sharma, G. Biamby, J. Quenum, Y. Bai, B. Shi, T. Darrell, and R. Herzig, “LLARVA: Vision-action instruction tuning enhances robot learning,” in Proc. Conf. Robot Learn. (CoRL), 2024, arXiv:2406.11815.</x:v>
      </x:c>
      <x:c r="E49" s="70" t="str">
        <x:v>LLARVA uses vision-action instruction tuning with intermediate two-dimensional visual traces. These traces help align multimodal representations with the robot behaviors learned during adaptation.</x:v>
      </x:c>
      <x:c r="F49" s="81" t="str">
        <x:v>https://arxiv.org/abs/2406.11815</x:v>
      </x:c>
      <x:c r="G49" s="70" t="str">
        <x:v>Paper</x:v>
      </x:c>
      <x:c r="H49" s="80" t="str">
        <x:v>Pending</x:v>
      </x:c>
    </x:row>
    <x:row r="50" ht="62" customHeight="1">
      <x:c r="A50" s="79" t="n">
        <x:v>42</x:v>
      </x:c>
      <x:c r="B50" s="70" t="str">
        <x:v>lapa</x:v>
      </x:c>
      <x:c r="C50" s="79" t="n">
        <x:v>2025</x:v>
      </x:c>
      <x:c r="D50" s="70" t="str">
        <x:v>S. Ye, J. Jang, B. Jeon, S. Joo, J. Yang, B. Peng, A. Mandlekar, R. Tan et al., “Latent action pretraining from videos,” in International Conference on Learning Representations (ICLR), 2025, arXiv:2410.11758.</x:v>
      </x:c>
      <x:c r="E50" s="70" t="str">
        <x:v>LAPA learns latent action representations from video without ground-truth action labels during pretraining. Robot data subsequently maps the pretrained policy into executable robot actions.</x:v>
      </x:c>
      <x:c r="F50" s="81" t="str">
        <x:v>https://arxiv.org/abs/2410.11758</x:v>
      </x:c>
      <x:c r="G50" s="70" t="str">
        <x:v>Paper</x:v>
      </x:c>
      <x:c r="H50" s="80" t="str">
        <x:v>Pending</x:v>
      </x:c>
    </x:row>
    <x:row r="51" ht="72" customHeight="1">
      <x:c r="A51" s="79" t="n">
        <x:v>43</x:v>
      </x:c>
      <x:c r="B51" s="70" t="str">
        <x:v>fast</x:v>
      </x:c>
      <x:c r="C51" s="79" t="n">
        <x:v>2025</x:v>
      </x:c>
      <x:c r="D51" s="70" t="str">
        <x:v>K. Pertsch, K. Stachowicz, B. Ichter, D. Driess, S. Nair, Q. Vuong, O. Mees, C. Finn, and S. Levine, “FAST: Efficient action tokenization for vision-language-action models,” in Proc. Robot.: Sci. Syst. (RSS), 2025, arXiv:2501.09747.</x:v>
      </x:c>
      <x:c r="E51" s="70" t="str">
        <x:v>FAST compresses continuous action chunks into frequency-domain tokens for autoregressive prediction. The π0-FAST policy demonstrates how this representation can support action generation for dexterous control.</x:v>
      </x:c>
      <x:c r="F51" s="81" t="str">
        <x:v>https://arxiv.org/abs/2501.09747</x:v>
      </x:c>
      <x:c r="G51" s="70" t="str">
        <x:v>Paper</x:v>
      </x:c>
      <x:c r="H51" s="80" t="str">
        <x:v>Pending</x:v>
      </x:c>
    </x:row>
    <x:row r="52" ht="62" customHeight="1">
      <x:c r="A52" s="79" t="n">
        <x:v>44</x:v>
      </x:c>
      <x:c r="B52" s="70" t="str">
        <x:v>ddvla</x:v>
      </x:c>
      <x:c r="C52" s="79" t="n">
        <x:v>2025</x:v>
      </x:c>
      <x:c r="D52" s="70" t="str">
        <x:v>Liang et al., “Discrete diffusion VLA: Bringing discrete diffusion to action decoding in vision-language-action policies,” arXiv preprint arXiv:2508.20072, 2025.</x:v>
      </x:c>
      <x:c r="E52" s="70" t="str">
        <x:v>Discrete Diffusion VLA generates discretized action chunks through iterative diffusion-style refinement within a shared transformer. It explores parallel action decoding as an alternative to sequential autoregressive generation.</x:v>
      </x:c>
      <x:c r="F52" s="81" t="str">
        <x:v>https://arxiv.org/abs/2508.20072</x:v>
      </x:c>
      <x:c r="G52" s="70" t="str">
        <x:v>Paper</x:v>
      </x:c>
      <x:c r="H52" s="80" t="str">
        <x:v>Pending</x:v>
      </x:c>
    </x:row>
    <x:row r="53" ht="62" customHeight="1">
      <x:c r="A53" s="79" t="n">
        <x:v>45</x:v>
      </x:c>
      <x:c r="B53" s="70" t="str">
        <x:v>octo</x:v>
      </x:c>
      <x:c r="C53" s="79" t="n">
        <x:v>2024</x:v>
      </x:c>
      <x:c r="D53" s="70" t="str">
        <x:v>Octo Model Team, D. Ghosh, H. Walke, K. Pertsch, K. Black, O. Mees, S. Dasari, J. Hejna, T. Kreiman, C. Xu et al., “Octo: An open-source generalist robot policy,” in Proc. Robot.: Sci. Syst. (RSS), 2024, arXiv:2405.12213.</x:v>
      </x:c>
      <x:c r="E53" s="70" t="str">
        <x:v>Octo is an open generalist robot policy with a diffusion action head and language- or image-goal conditioning. Its adaptation interface accommodates new observation inputs and robot action spaces.</x:v>
      </x:c>
      <x:c r="F53" s="81" t="str">
        <x:v>https://arxiv.org/abs/2405.12213</x:v>
      </x:c>
      <x:c r="G53" s="70" t="str">
        <x:v>Paper</x:v>
      </x:c>
      <x:c r="H53" s="80" t="str">
        <x:v>Pending</x:v>
      </x:c>
    </x:row>
    <x:row r="54" ht="62" customHeight="1">
      <x:c r="A54" s="79" t="n">
        <x:v>46</x:v>
      </x:c>
      <x:c r="B54" s="70" t="str">
        <x:v>rdt1b</x:v>
      </x:c>
      <x:c r="C54" s="79" t="n">
        <x:v>2024</x:v>
      </x:c>
      <x:c r="D54" s="70" t="str">
        <x:v>S. Liu, L. Wu, B. Li, H. Tan, H. Chen, Z. Wang, K. Xu, H. Su, and J. Zhu, “RDT-1B: A diffusion foundation model for bimanual manipulation,” arXiv preprint arXiv:2410.07864, 2024, published ICLR 2025.</x:v>
      </x:c>
      <x:c r="E54" s="70" t="str">
        <x:v>RDT-1B uses a diffusion transformer to generate bimanual robot actions conditioned on multimodal inputs. A unified action representation supports learning from robots with different configurations.</x:v>
      </x:c>
      <x:c r="F54" s="81" t="str">
        <x:v>https://arxiv.org/abs/2410.07864</x:v>
      </x:c>
      <x:c r="G54" s="70" t="str">
        <x:v>Paper</x:v>
      </x:c>
      <x:c r="H54" s="80" t="str">
        <x:v>Pending</x:v>
      </x:c>
    </x:row>
    <x:row r="55" ht="62" customHeight="1">
      <x:c r="A55" s="79" t="n">
        <x:v>47</x:v>
      </x:c>
      <x:c r="B55" s="70" t="str">
        <x:v>cogact</x:v>
      </x:c>
      <x:c r="C55" s="79" t="n">
        <x:v>2024</x:v>
      </x:c>
      <x:c r="D55" s="70" t="str">
        <x:v>Q. Li et al., “CogACT: A foundational vision-language-action model for synergizing cognition and action in robotic manipulation,” arXiv preprint arXiv:2411.19650, 2024.</x:v>
      </x:c>
      <x:c r="E55" s="70" t="str">
        <x:v>CogACT couples a vision-language backbone to a specialized diffusion action transformer. This separation connects semantic interpretation with continuous manipulation commands.</x:v>
      </x:c>
      <x:c r="F55" s="81" t="str">
        <x:v>https://arxiv.org/abs/2411.19650</x:v>
      </x:c>
      <x:c r="G55" s="70" t="str">
        <x:v>Paper</x:v>
      </x:c>
      <x:c r="H55" s="80" t="str">
        <x:v>Pending</x:v>
      </x:c>
    </x:row>
    <x:row r="56" ht="62" customHeight="1">
      <x:c r="A56" s="79" t="n">
        <x:v>48</x:v>
      </x:c>
      <x:c r="B56" s="70" t="str">
        <x:v>dexvla</x:v>
      </x:c>
      <x:c r="C56" s="79" t="n">
        <x:v>2025</x:v>
      </x:c>
      <x:c r="D56" s="70" t="str">
        <x:v>J. Wen, Y. Zhu, J. Li, Z. Tang, C. Shen, and F. Feng, “DexVLA: Vision-language model with plug-in diffusion expert for general robot control,” arXiv preprint arXiv:2502.05855, 2025.</x:v>
      </x:c>
      <x:c r="E56" s="70" t="str">
        <x:v>DexVLA connects a vision-language backbone to a pretrained diffusion action expert. Its staged training adapts the action-generation component across tasks and robot embodiments.</x:v>
      </x:c>
      <x:c r="F56" s="81" t="str">
        <x:v>https://arxiv.org/abs/2502.05855</x:v>
      </x:c>
      <x:c r="G56" s="70" t="str">
        <x:v>Paper</x:v>
      </x:c>
      <x:c r="H56" s="80" t="str">
        <x:v>Pending</x:v>
      </x:c>
    </x:row>
    <x:row r="57" ht="62" customHeight="1">
      <x:c r="A57" s="79" t="n">
        <x:v>49</x:v>
      </x:c>
      <x:c r="B57" s="70" t="str">
        <x:v>act</x:v>
      </x:c>
      <x:c r="C57" s="79" t="n">
        <x:v>2023</x:v>
      </x:c>
      <x:c r="D57" s="70" t="str">
        <x:v>T. Z. Zhao, V. Kumar, S. Levine, and C. Finn, “Learning fine-grained bimanual manipulation with low-cost hardware,” in Robotics: Science and Systems (RSS), 2023, arXiv:2304.13705.</x:v>
      </x:c>
      <x:c r="E57" s="70" t="str">
        <x:v>This paper introduces the ALOHA teleoperation platform and Action Chunking with Transformers for bimanual imitation learning. Predicting sequences of actions provides a control precedent for later chunk-based VLA policies.</x:v>
      </x:c>
      <x:c r="F57" s="81" t="str">
        <x:v>https://arxiv.org/abs/2304.13705</x:v>
      </x:c>
      <x:c r="G57" s="70" t="str">
        <x:v>Paper</x:v>
      </x:c>
      <x:c r="H57" s="80" t="str">
        <x:v>Pending</x:v>
      </x:c>
    </x:row>
    <x:row r="58" ht="62" customHeight="1">
      <x:c r="A58" s="79" t="n">
        <x:v>50</x:v>
      </x:c>
      <x:c r="B58" s="70" t="str">
        <x:v>mobilealoha</x:v>
      </x:c>
      <x:c r="C58" s="79" t="n">
        <x:v>2024</x:v>
      </x:c>
      <x:c r="D58" s="70" t="str">
        <x:v>Z. Fu, T. Z. Zhao, and C. Finn, “Mobile ALOHA: Learning bimanual mobile manipulation with low-cost whole-body teleoperation,” in Conference on Robot Learning (CoRL), 2024, arXiv:2401.02117.</x:v>
      </x:c>
      <x:c r="E58" s="70" t="str">
        <x:v>Mobile ALOHA combines whole-body teleoperation with imitation learning for mobile bimanual manipulation. It extends demonstration-based control to coordinated base and arm motions.</x:v>
      </x:c>
      <x:c r="F58" s="81" t="str">
        <x:v>https://arxiv.org/abs/2401.02117</x:v>
      </x:c>
      <x:c r="G58" s="70" t="str">
        <x:v>Paper</x:v>
      </x:c>
      <x:c r="H58" s="80" t="str">
        <x:v>Pending</x:v>
      </x:c>
    </x:row>
    <x:row r="59" ht="62" customHeight="1">
      <x:c r="A59" s="79" t="n">
        <x:v>51</x:v>
      </x:c>
      <x:c r="B59" s="70" t="str">
        <x:v>diffusionpolicy</x:v>
      </x:c>
      <x:c r="C59" s="79" t="n">
        <x:v>2023</x:v>
      </x:c>
      <x:c r="D59" s="70" t="str">
        <x:v>C. Chi, Z. Xu, S. Feng, E. Cousineau, Y. Du, B. Burchfiel, R. Tedrake, and S. Song, “Diffusion policy: Visuomotor policy learning via action diffusion,” in Proc. Robot.: Sci. Syst. (RSS), 2023, arXiv:2303.04137.</x:v>
      </x:c>
      <x:c r="E59" s="70" t="str">
        <x:v>Diffusion Policy models visuomotor action sequences through conditional denoising diffusion. Receding-horizon execution makes it a control foundation for later diffusion-based robot policies.</x:v>
      </x:c>
      <x:c r="F59" s="81" t="str">
        <x:v>https://arxiv.org/abs/2303.04137</x:v>
      </x:c>
      <x:c r="G59" s="70" t="str">
        <x:v>Paper</x:v>
      </x:c>
      <x:c r="H59" s="80" t="str">
        <x:v>Pending</x:v>
      </x:c>
    </x:row>
    <x:row r="60" ht="72" customHeight="1">
      <x:c r="A60" s="79" t="n">
        <x:v>52</x:v>
      </x:c>
      <x:c r="B60" s="70" t="str">
        <x:v>pi05</x:v>
      </x:c>
      <x:c r="C60" s="79" t="n">
        <x:v>2025</x:v>
      </x:c>
      <x:c r="D60" s="70" t="str">
        <x:v>Physical Intelligence, K. Black, N. Brown, J. Darpinian, K. Dhabalia, D. Driess, A. Esmail, M. Equi, C. Finn, N. Fusai et al., “π0.5: A vision-language-action model with open-world generalization,” arXiv preprint arXiv:2504.16054, 2025.</x:v>
      </x:c>
      <x:c r="E60" s="70" t="str">
        <x:v>The π0.5 model extends π0 through heterogeneous co-training and hierarchical task conditioning. It studies language-conditioned manipulation in settings beyond familiar training environments.</x:v>
      </x:c>
      <x:c r="F60" s="81" t="str">
        <x:v>https://arxiv.org/abs/2504.16054</x:v>
      </x:c>
      <x:c r="G60" s="70" t="str">
        <x:v>Paper</x:v>
      </x:c>
      <x:c r="H60" s="80" t="str">
        <x:v>Pending</x:v>
      </x:c>
    </x:row>
    <x:row r="61" ht="62" customHeight="1">
      <x:c r="A61" s="79" t="n">
        <x:v>53</x:v>
      </x:c>
      <x:c r="B61" s="70" t="str">
        <x:v>helix</x:v>
      </x:c>
      <x:c r="C61" s="79" t="n">
        <x:v>2025</x:v>
      </x:c>
      <x:c r="D61" s="70" t="str">
        <x:v>Figure AI, “Helix: A vision-language-action model for generalist humanoid control,” Figure AI technical blog, , 2025.</x:v>
      </x:c>
      <x:c r="E61" s="70" t="str">
        <x:v>Helix combines a slower vision-language component with a faster continuous-action controller for humanoid upper-body manipulation. The cited vendor release describes this dual-system architecture and its demonstrated behaviors.</x:v>
      </x:c>
      <x:c r="F61" s="81" t="str">
        <x:v>https://www.figure.ai/news/helix</x:v>
      </x:c>
      <x:c r="G61" s="70" t="str">
        <x:v>Technical release / software</x:v>
      </x:c>
      <x:c r="H61" s="80" t="str">
        <x:v>Pending</x:v>
      </x:c>
    </x:row>
    <x:row r="62" ht="72" customHeight="1">
      <x:c r="A62" s="79" t="n">
        <x:v>54</x:v>
      </x:c>
      <x:c r="B62" s="70" t="str">
        <x:v>saycan</x:v>
      </x:c>
      <x:c r="C62" s="79" t="n">
        <x:v>2022</x:v>
      </x:c>
      <x:c r="D62" s="70" t="str">
        <x:v>M. Ahn, A. Brohan, N. Brown, Y. Chebotar, O. Cortes, B. David, C. Finn, C. Fu, K. Gopalakrishnan, K. Hausman et al., “Do as I can, not as I say: Grounding language in robotic affordances,” in Proc. Conf. Robot Learn. (CoRL), 2022, arXiv:2204.01691.</x:v>
      </x:c>
      <x:c r="E62" s="70" t="str">
        <x:v>SayCan combines language-model task suggestions with learned skill-value estimates. It uses these estimates to select behaviors that are both instruction-relevant and physically feasible.</x:v>
      </x:c>
      <x:c r="F62" s="81" t="str">
        <x:v>https://arxiv.org/abs/2204.01691</x:v>
      </x:c>
      <x:c r="G62" s="70" t="str">
        <x:v>Paper</x:v>
      </x:c>
      <x:c r="H62" s="80" t="str">
        <x:v>Pending</x:v>
      </x:c>
    </x:row>
    <x:row r="63" ht="72" customHeight="1">
      <x:c r="A63" s="79" t="n">
        <x:v>55</x:v>
      </x:c>
      <x:c r="B63" s="70" t="str">
        <x:v>palme</x:v>
      </x:c>
      <x:c r="C63" s="79" t="n">
        <x:v>2023</x:v>
      </x:c>
      <x:c r="D63" s="70" t="str">
        <x:v>D. Driess, F. Xia, M. S. M. Sajjadi, C. Lynch, A. Chowdhery, B. Ichter, A. Wahid, J. Tompson, Q. Vuong, T. Yu et al., “PaLM-E: An embodied multimodal language model,” in Proc. Int. Conf. Mach. Learn. (ICML), 2023, arXiv:2303.03378.</x:v>
      </x:c>
      <x:c r="E63" s="70" t="str">
        <x:v>PaLM-E incorporates visual observations and continuous sensor information into an embodied language model. It supports multimodal reasoning and high-level robot planning.</x:v>
      </x:c>
      <x:c r="F63" s="81" t="str">
        <x:v>https://arxiv.org/abs/2303.03378</x:v>
      </x:c>
      <x:c r="G63" s="70" t="str">
        <x:v>Paper</x:v>
      </x:c>
      <x:c r="H63" s="80" t="str">
        <x:v>Pending</x:v>
      </x:c>
    </x:row>
    <x:row r="64" ht="62" customHeight="1">
      <x:c r="A64" s="79" t="n">
        <x:v>56</x:v>
      </x:c>
      <x:c r="B64" s="70" t="str">
        <x:v>rth</x:v>
      </x:c>
      <x:c r="C64" s="79" t="n">
        <x:v>2024</x:v>
      </x:c>
      <x:c r="D64" s="70" t="str">
        <x:v>S. Belkhale, T. Ding, T. Xiao, P. Sermanet, Q. Vuong, J. Tompson, Y. Chebotar, D. Dwibedi, and D. Sadigh, “RT-H: Action hierarchies using language,” in Proc. Robot.: Sci. Syst. (RSS), 2024, arXiv:2403.01823.</x:v>
      </x:c>
      <x:c r="E64" s="70" t="str">
        <x:v>RT-H inserts a language-based action hierarchy between task instructions and low-level robot commands. Intermediate motion descriptions organize execution and provide a structured interface for control.</x:v>
      </x:c>
      <x:c r="F64" s="81" t="str">
        <x:v>https://arxiv.org/abs/2403.01823</x:v>
      </x:c>
      <x:c r="G64" s="70" t="str">
        <x:v>Paper</x:v>
      </x:c>
      <x:c r="H64" s="80" t="str">
        <x:v>Pending</x:v>
      </x:c>
    </x:row>
    <x:row r="65" ht="72" customHeight="1">
      <x:c r="A65" s="79" t="n">
        <x:v>57</x:v>
      </x:c>
      <x:c r="B65" s="70" t="str">
        <x:v>codeaspolicies</x:v>
      </x:c>
      <x:c r="C65" s="79" t="n">
        <x:v>2023</x:v>
      </x:c>
      <x:c r="D65" s="70" t="str">
        <x:v>J. Liang, W. Huang, F. Xia, P. Xu, K. Hausman, B. Ichter, P. Florence, and A. Zeng, “Code as policies: Language model programs for embodied control,” in IEEE International Conference on Robotics and Automation (ICRA), 2023, arXiv:2209.07753.</x:v>
      </x:c>
      <x:c r="E65" s="70" t="str">
        <x:v>Code as Policies generates robot-control programs from natural-language instructions. The generated programs connect perception outputs, control APIs, and feedback to executable behaviors.</x:v>
      </x:c>
      <x:c r="F65" s="81" t="str">
        <x:v>https://arxiv.org/abs/2209.07753</x:v>
      </x:c>
      <x:c r="G65" s="70" t="str">
        <x:v>Paper</x:v>
      </x:c>
      <x:c r="H65" s="80" t="str">
        <x:v>Pending</x:v>
      </x:c>
    </x:row>
    <x:row r="66" ht="62" customHeight="1">
      <x:c r="A66" s="79" t="n">
        <x:v>58</x:v>
      </x:c>
      <x:c r="B66" s="70" t="str">
        <x:v>voxposer</x:v>
      </x:c>
      <x:c r="C66" s="79" t="n">
        <x:v>2023</x:v>
      </x:c>
      <x:c r="D66" s="70" t="str">
        <x:v>W. Huang, C. Wang, R. Zhang, Y. Li, J. Wu, and L. Fei-Fei, “VoxPoser: Composable 3D value maps for robotic manipulation with language models,” in Conference on Robot Learning (CoRL), 2023, arXiv:2307.05973.</x:v>
      </x:c>
      <x:c r="E66" s="70" t="str">
        <x:v>VoxPoser converts language and visual information into composable three-dimensional value maps. These maps guide motion planning for manipulation instead of directly predicting motor commands from a single policy head.</x:v>
      </x:c>
      <x:c r="F66" s="81" t="str">
        <x:v>https://arxiv.org/abs/2307.05973</x:v>
      </x:c>
      <x:c r="G66" s="70" t="str">
        <x:v>Paper</x:v>
      </x:c>
      <x:c r="H66" s="80" t="str">
        <x:v>Pending</x:v>
      </x:c>
    </x:row>
    <x:row r="67" ht="62" customHeight="1">
      <x:c r="A67" s="79" t="n">
        <x:v>59</x:v>
      </x:c>
      <x:c r="B67" s="70" t="str">
        <x:v>hirobot</x:v>
      </x:c>
      <x:c r="C67" s="79" t="n">
        <x:v>2025</x:v>
      </x:c>
      <x:c r="D67" s="70" t="str">
        <x:v>L. X. Shi et al., “Hi robot: Open-ended instruction following with hierarchical vision-language-action models,” arXiv preprint arXiv:2502.19417, 2025.</x:v>
      </x:c>
      <x:c r="E67" s="70" t="str">
        <x:v>Hi Robot uses hierarchical vision-language-action policies to interpret complex instructions and user feedback. A lower-level controller executes the manipulation steps selected by the higher-level reasoning component.</x:v>
      </x:c>
      <x:c r="F67" s="81" t="str">
        <x:v>https://arxiv.org/abs/2502.19417</x:v>
      </x:c>
      <x:c r="G67" s="70" t="str">
        <x:v>Paper</x:v>
      </x:c>
      <x:c r="H67" s="80" t="str">
        <x:v>Pending</x:v>
      </x:c>
    </x:row>
    <x:row r="68" ht="62" customHeight="1">
      <x:c r="A68" s="79" t="n">
        <x:v>60</x:v>
      </x:c>
      <x:c r="B68" s="70" t="str">
        <x:v>ecot</x:v>
      </x:c>
      <x:c r="C68" s="79" t="n">
        <x:v>2024</x:v>
      </x:c>
      <x:c r="D68" s="70" t="str">
        <x:v>M. Zawalski, W. Chen, K. Pertsch, O. Mees, C. Finn, and S. Levine, “Robotic control via embodied chain-of-thought reasoning,” in Proc. Conf. Robot Learn. (CoRL), 2024, arXiv:2407.08693.</x:v>
      </x:c>
      <x:c r="E68" s="70" t="str">
        <x:v>Embodied Chain-of-Thought trains a VLA to generate intermediate plans and visually grounded reasoning before robot actions. The method studies whether explicit reasoning supervision improves control and instruction execution.</x:v>
      </x:c>
      <x:c r="F68" s="81" t="str">
        <x:v>https://arxiv.org/abs/2407.08693</x:v>
      </x:c>
      <x:c r="G68" s="70" t="str">
        <x:v>Paper</x:v>
      </x:c>
      <x:c r="H68" s="80" t="str">
        <x:v>Pending</x:v>
      </x:c>
    </x:row>
    <x:row r="69" ht="62" customHeight="1">
      <x:c r="A69" s="79" t="n">
        <x:v>61</x:v>
      </x:c>
      <x:c r="B69" s="70" t="str">
        <x:v>onetwovla</x:v>
      </x:c>
      <x:c r="C69" s="79" t="n">
        <x:v>2025</x:v>
      </x:c>
      <x:c r="D69" s="70" t="str">
        <x:v>Lin et al., “OneTwoVLA: A unified vision-language-action model with adaptive reasoning,” arXiv preprint arXiv:2505.11917, 2025.</x:v>
      </x:c>
      <x:c r="E69" s="70" t="str">
        <x:v>OneTwoVLA unifies explicit reasoning and robot-action generation within one model. It switches between reasoning and execution as task progress requires.</x:v>
      </x:c>
      <x:c r="F69" s="81" t="str">
        <x:v>https://arxiv.org/abs/2505.11917</x:v>
      </x:c>
      <x:c r="G69" s="70" t="str">
        <x:v>Paper</x:v>
      </x:c>
      <x:c r="H69" s="80" t="str">
        <x:v>Pending</x:v>
      </x:c>
    </x:row>
    <x:row r="70" ht="62" customHeight="1">
      <x:c r="A70" s="79" t="n">
        <x:v>62</x:v>
      </x:c>
      <x:c r="B70" s="70" t="str">
        <x:v>rationalvla</x:v>
      </x:c>
      <x:c r="C70" s="79" t="n">
        <x:v>2025</x:v>
      </x:c>
      <x:c r="D70" s="70" t="str">
        <x:v>Song et al., “RationalVLA: A rational vision-language-action model with dual system,” arXiv preprint arXiv:2506.10826, 2025.</x:v>
      </x:c>
      <x:c r="E70" s="70" t="str">
        <x:v>RationalVLA couples higher-level instruction reasoning with manipulation control in a dual-system design. It includes assessment and rejection of commands judged infeasible or defective.</x:v>
      </x:c>
      <x:c r="F70" s="81" t="str">
        <x:v>https://arxiv.org/abs/2506.10826</x:v>
      </x:c>
      <x:c r="G70" s="70" t="str">
        <x:v>Paper</x:v>
      </x:c>
      <x:c r="H70" s="80" t="str">
        <x:v>Pending</x:v>
      </x:c>
    </x:row>
    <x:row r="71" ht="62" customHeight="1">
      <x:c r="A71" s="79" t="n">
        <x:v>63</x:v>
      </x:c>
      <x:c r="B71" s="70" t="str">
        <x:v>rekep</x:v>
      </x:c>
      <x:c r="C71" s="79" t="n">
        <x:v>2024</x:v>
      </x:c>
      <x:c r="D71" s="70" t="str">
        <x:v>W. Huang, C. Wang, Y. Li, R. Zhang, and L. Fei-Fei, “ReKep: Spatio-temporal reasoning of relational keypoint constraints for robotic manipulation,” in Conference on Robot Learning (CoRL), 2024, arXiv:2409.01652.</x:v>
      </x:c>
      <x:c r="E71" s="70" t="str">
        <x:v>ReKep uses visual-language reasoning to formulate relational constraints between task-relevant keypoints. It then optimizes robot motions to satisfy those constraints over time.</x:v>
      </x:c>
      <x:c r="F71" s="81" t="str">
        <x:v>https://arxiv.org/abs/2409.01652</x:v>
      </x:c>
      <x:c r="G71" s="70" t="str">
        <x:v>Paper</x:v>
      </x:c>
      <x:c r="H71" s="80" t="str">
        <x:v>Pending</x:v>
      </x:c>
    </x:row>
    <x:row r="72" ht="62" customHeight="1">
      <x:c r="A72" s="79" t="n">
        <x:v>64</x:v>
      </x:c>
      <x:c r="B72" s="70" t="str">
        <x:v>moka</x:v>
      </x:c>
      <x:c r="C72" s="79" t="n">
        <x:v>2024</x:v>
      </x:c>
      <x:c r="D72" s="70" t="str">
        <x:v>F. Liu, K. Fang, P. Abbeel, and S. Levine, “MOKA: Open-world robotic manipulation through mark-based visual prompting,” in Robotics: Science and Systems (RSS), 2024, arXiv:2403.03174.</x:v>
      </x:c>
      <x:c r="E72" s="70" t="str">
        <x:v>MOKA uses marked images and point-based affordances to interpret manipulation instructions. These geometric interfaces translate vision-language reasoning into executable control commands.</x:v>
      </x:c>
      <x:c r="F72" s="81" t="str">
        <x:v>https://arxiv.org/abs/2403.03174</x:v>
      </x:c>
      <x:c r="G72" s="70" t="str">
        <x:v>Paper</x:v>
      </x:c>
      <x:c r="H72" s="80" t="str">
        <x:v>Pending</x:v>
      </x:c>
    </x:row>
    <x:row r="73" ht="62" customHeight="1">
      <x:c r="A73" s="79" t="n">
        <x:v>65</x:v>
      </x:c>
      <x:c r="B73" s="70" t="str">
        <x:v>cotvla</x:v>
      </x:c>
      <x:c r="C73" s="79" t="n">
        <x:v>2025</x:v>
      </x:c>
      <x:c r="D73" s="70" t="str">
        <x:v>Q. Zhao et al., “CoT-VLA: Visual chain-of-thought reasoning for vision-language-action models,” in Proc. IEEE/CVF Conf. Comput. Vis. Pattern Recognit. (CVPR), 2025, arXiv:2503.22020.</x:v>
      </x:c>
      <x:c r="E73" s="70" t="str">
        <x:v>CoT-VLA predicts future images as intermediate visual goals before generating action sequences. This visual chain of thought links prediction to policy execution without itself establishing candidate-action search.</x:v>
      </x:c>
      <x:c r="F73" s="81" t="str">
        <x:v>https://arxiv.org/abs/2503.22020</x:v>
      </x:c>
      <x:c r="G73" s="70" t="str">
        <x:v>Paper</x:v>
      </x:c>
      <x:c r="H73" s="80" t="str">
        <x:v>Pending</x:v>
      </x:c>
    </x:row>
    <x:row r="74" ht="62" customHeight="1">
      <x:c r="A74" s="79" t="n">
        <x:v>66</x:v>
      </x:c>
      <x:c r="B74" s="70" t="str">
        <x:v>ontollmtamp</x:v>
      </x:c>
      <x:c r="C74" s="79" t="n">
        <x:v>2025</x:v>
      </x:c>
      <x:c r="D74" s="70" t="str">
        <x:v>M. U. Din, J. Rosell, W. Akram, I. Zaplana, M. A. Roa, L. Seneviratne, and I. Hussain, “Ontology-driven prompt tuning for LLM-based task and motion planning,” Robot. Auton. Syst., 2025.</x:v>
      </x:c>
      <x:c r="E74" s="70" t="str">
        <x:v>This framework enriches language-model prompts with ontology-based task knowledge and descriptions of the environment. It uses this knowledge to improve semantic consistency and temporal ordering in task-and-motion plans.</x:v>
      </x:c>
      <x:c r="F74" s="81" t="str">
        <x:v>https://arxiv.org/abs/2412.07493v1</x:v>
      </x:c>
      <x:c r="G74" s="70" t="str">
        <x:v>Paper</x:v>
      </x:c>
      <x:c r="H74" s="80" t="str">
        <x:v>Pending</x:v>
      </x:c>
    </x:row>
    <x:row r="75" ht="62" customHeight="1">
      <x:c r="A75" s="79" t="n">
        <x:v>67</x:v>
      </x:c>
      <x:c r="B75" s="70" t="str">
        <x:v>peract</x:v>
      </x:c>
      <x:c r="C75" s="79" t="n">
        <x:v>2022</x:v>
      </x:c>
      <x:c r="D75" s="70" t="str">
        <x:v>M. Shridhar, L. Manuelli, and D. Fox, “Perceiver-Actor: A multi-task transformer for robotic manipulation,” in Proc. Conf. Robot Learn. (CoRL), 2022, arXiv:2209.05451.</x:v>
      </x:c>
      <x:c r="E75" s="70" t="str">
        <x:v>PerAct encodes language goals and voxelized RGB-D observations with a Perceiver architecture. It learns discretized six-degree-of-freedom manipulation actions through behavior cloning.</x:v>
      </x:c>
      <x:c r="F75" s="81" t="str">
        <x:v>https://arxiv.org/abs/2209.05451</x:v>
      </x:c>
      <x:c r="G75" s="70" t="str">
        <x:v>Paper</x:v>
      </x:c>
      <x:c r="H75" s="80" t="str">
        <x:v>Pending</x:v>
      </x:c>
    </x:row>
    <x:row r="76" ht="62" customHeight="1">
      <x:c r="A76" s="79" t="n">
        <x:v>68</x:v>
      </x:c>
      <x:c r="B76" s="70" t="str">
        <x:v>rvt</x:v>
      </x:c>
      <x:c r="C76" s="79" t="n">
        <x:v>2023</x:v>
      </x:c>
      <x:c r="D76" s="70" t="str">
        <x:v>A. Goyal, J. Xu, Y. Guo, V. Blukis, Y.-W. Chao, and D. Fox, “RVT: Robotic view transformer for 3D object manipulation,” in Proc. Conf. Robot Learn. (CoRL), 2023, arXiv:2306.14896.</x:v>
      </x:c>
      <x:c r="E76" s="70" t="str">
        <x:v>RVT combines rendered views of a three-dimensional scene with language-goal embeddings in a transformer. The resulting representation supports spatially grounded manipulation from limited demonstrations.</x:v>
      </x:c>
      <x:c r="F76" s="81" t="str">
        <x:v>https://arxiv.org/abs/2306.14896</x:v>
      </x:c>
      <x:c r="G76" s="70" t="str">
        <x:v>Paper</x:v>
      </x:c>
      <x:c r="H76" s="80" t="str">
        <x:v>Pending</x:v>
      </x:c>
    </x:row>
    <x:row r="77" ht="62" customHeight="1">
      <x:c r="A77" s="79" t="n">
        <x:v>69</x:v>
      </x:c>
      <x:c r="B77" s="70" t="str">
        <x:v>rvt2</x:v>
      </x:c>
      <x:c r="C77" s="79" t="n">
        <x:v>2024</x:v>
      </x:c>
      <x:c r="D77" s="70" t="str">
        <x:v>A. Goyal, V. Blukis, J. Xu, Y. Guo, Y.-W. Chao, and D. Fox, “RVT-2: Learning precise manipulation from few demonstrations,” in Robotics: Science and Systems (RSS), 2024, arXiv:2406.08545.</x:v>
      </x:c>
      <x:c r="E77" s="70" t="str">
        <x:v>RVT-2 improves the architecture and execution of language-conditioned multi-view manipulation policies. It emphasizes precise control and efficient learning from few demonstrations.</x:v>
      </x:c>
      <x:c r="F77" s="81" t="str">
        <x:v>https://arxiv.org/abs/2406.08545</x:v>
      </x:c>
      <x:c r="G77" s="70" t="str">
        <x:v>Paper</x:v>
      </x:c>
      <x:c r="H77" s="80" t="str">
        <x:v>Pending</x:v>
      </x:c>
    </x:row>
    <x:row r="78" ht="62" customHeight="1">
      <x:c r="A78" s="79" t="n">
        <x:v>70</x:v>
      </x:c>
      <x:c r="B78" s="70" t="str">
        <x:v>act3d</x:v>
      </x:c>
      <x:c r="C78" s="79" t="n">
        <x:v>2023</x:v>
      </x:c>
      <x:c r="D78" s="70" t="str">
        <x:v>T. Gervet, Z. Xian, N. Gkanatsios, and K. Fragkiadaki, “Act3D: 3D feature field transformers for multi-task robotic manipulation,” in Conference on Robot Learning (CoRL), 2023, arXiv:2306.17817.</x:v>
      </x:c>
      <x:c r="E78" s="70" t="str">
        <x:v>Act3D uses a hierarchical three-dimensional feature field with task-instruction conditioning to predict manipulation actions. Coarse-to-fine spatial sampling concentrates computation where precise action prediction is needed.</x:v>
      </x:c>
      <x:c r="F78" s="81" t="str">
        <x:v>https://arxiv.org/abs/2306.17817</x:v>
      </x:c>
      <x:c r="G78" s="70" t="str">
        <x:v>Paper</x:v>
      </x:c>
      <x:c r="H78" s="80" t="str">
        <x:v>Pending</x:v>
      </x:c>
    </x:row>
    <x:row r="79" ht="62" customHeight="1">
      <x:c r="A79" s="79" t="n">
        <x:v>71</x:v>
      </x:c>
      <x:c r="B79" s="70" t="str">
        <x:v>threedvla</x:v>
      </x:c>
      <x:c r="C79" s="79" t="n">
        <x:v>2024</x:v>
      </x:c>
      <x:c r="D79" s="70" t="str">
        <x:v>H. Zhen, X. Qiu, P. Chen, J. Yang, X. Yan, Y. Du, Y. Hong, and C. Gan, “3D-VLA: A 3D vision-language-action generative world model,” in Proc. Int. Conf. Mach. Learn. (ICML), 2024, arXiv:2403.09631.</x:v>
      </x:c>
      <x:c r="E79" s="70" t="str">
        <x:v>3D-VLA combines three-dimensional vision-language representations with generation of future observations and robot actions. It connects spatial grounding with predictive policy learning for manipulation.</x:v>
      </x:c>
      <x:c r="F79" s="81" t="str">
        <x:v>https://arxiv.org/abs/2403.09631</x:v>
      </x:c>
      <x:c r="G79" s="70" t="str">
        <x:v>Paper</x:v>
      </x:c>
      <x:c r="H79" s="80" t="str">
        <x:v>Pending</x:v>
      </x:c>
    </x:row>
    <x:row r="80" ht="72" customHeight="1">
      <x:c r="A80" s="79" t="n">
        <x:v>72</x:v>
      </x:c>
      <x:c r="B80" s="70" t="str">
        <x:v>spatialvla</x:v>
      </x:c>
      <x:c r="C80" s="79" t="n">
        <x:v>2025</x:v>
      </x:c>
      <x:c r="D80" s="70" t="str">
        <x:v>D. Qu, H. Song, Q. Chen, Y. Yao, X. Ye, Y. Ding, Z. Wang, J. Gu, B. Zhao, D. Wang et al., “SpatialVLA: Exploring spatial representations for visual-language-action models,” in Proc. Robot.: Sci. Syst. (RSS), 2025, arXiv:2501.15830.</x:v>
      </x:c>
      <x:c r="E80" s="70" t="str">
        <x:v>SpatialVLA uses geometric visual representations and spatially structured action tokens. These representations connect scene geometry with language-conditioned manipulation commands.</x:v>
      </x:c>
      <x:c r="F80" s="81" t="str">
        <x:v>https://arxiv.org/abs/2501.15830</x:v>
      </x:c>
      <x:c r="G80" s="70" t="str">
        <x:v>Paper</x:v>
      </x:c>
      <x:c r="H80" s="80" t="str">
        <x:v>Pending</x:v>
      </x:c>
    </x:row>
    <x:row r="81" ht="62" customHeight="1">
      <x:c r="A81" s="79" t="n">
        <x:v>73</x:v>
      </x:c>
      <x:c r="B81" s="70" t="str">
        <x:v>pointvla</x:v>
      </x:c>
      <x:c r="C81" s="79" t="n">
        <x:v>2025</x:v>
      </x:c>
      <x:c r="D81" s="70" t="str">
        <x:v>Li et al., “PointVLA: Injecting the 3D world into vision-language-action models,” arXiv preprint arXiv:2503.07511, 2025.</x:v>
      </x:c>
      <x:c r="E81" s="70" t="str">
        <x:v>PointVLA injects point-cloud information into pretrained VLA action modules through lightweight adaptation. It gives an existing policy access to three-dimensional geometry for manipulation.</x:v>
      </x:c>
      <x:c r="F81" s="81" t="str">
        <x:v>https://arxiv.org/abs/2503.07511</x:v>
      </x:c>
      <x:c r="G81" s="70" t="str">
        <x:v>Paper</x:v>
      </x:c>
      <x:c r="H81" s="80" t="str">
        <x:v>Pending</x:v>
      </x:c>
    </x:row>
    <x:row r="82" ht="62" customHeight="1">
      <x:c r="A82" s="79" t="n">
        <x:v>74</x:v>
      </x:c>
      <x:c r="B82" s="70" t="str">
        <x:v>lift3d</x:v>
      </x:c>
      <x:c r="C82" s="79" t="n">
        <x:v>2024</x:v>
      </x:c>
      <x:c r="D82" s="70" t="str">
        <x:v>Jia et al., “Lift3D foundation policy: Lifting 2D large-scale pretrained models for robust 3D robotic manipulation,” arXiv preprint arXiv:2411.18623, 2024.</x:v>
      </x:c>
      <x:c r="E82" s="70" t="str">
        <x:v>Lift3D adapts pretrained two-dimensional visual features into implicit and explicit three-dimensional manipulation representations. Its reported policy uses point clouds and robot state without language conditioning.</x:v>
      </x:c>
      <x:c r="F82" s="81" t="str">
        <x:v>https://arxiv.org/abs/2411.18623</x:v>
      </x:c>
      <x:c r="G82" s="70" t="str">
        <x:v>Paper</x:v>
      </x:c>
      <x:c r="H82" s="80" t="str">
        <x:v>Pending</x:v>
      </x:c>
    </x:row>
    <x:row r="83" ht="62" customHeight="1">
      <x:c r="A83" s="79" t="n">
        <x:v>75</x:v>
      </x:c>
      <x:c r="B83" s="70" t="str">
        <x:v>fp3</x:v>
      </x:c>
      <x:c r="C83" s="79" t="n">
        <x:v>2025</x:v>
      </x:c>
      <x:c r="D83" s="70" t="str">
        <x:v>Yang et al., “FP3: A 3D foundation policy for robotic manipulation,” arXiv preprint arXiv:2503.08950, 2025.</x:v>
      </x:c>
      <x:c r="E83" s="70" t="str">
        <x:v>FP3 pretrains a diffusion-transformer manipulation policy using point clouds, proprioception, and CLIP-encoded instructions. It adapts this language-conditioned three-dimensional policy to downstream tasks.</x:v>
      </x:c>
      <x:c r="F83" s="81" t="str">
        <x:v>https://arxiv.org/abs/2503.08950</x:v>
      </x:c>
      <x:c r="G83" s="70" t="str">
        <x:v>Paper</x:v>
      </x:c>
      <x:c r="H83" s="80" t="str">
        <x:v>Pending</x:v>
      </x:c>
    </x:row>
    <x:row r="84" ht="62" customHeight="1">
      <x:c r="A84" s="79" t="n">
        <x:v>76</x:v>
      </x:c>
      <x:c r="B84" s="70" t="str">
        <x:v>bridgevla</x:v>
      </x:c>
      <x:c r="C84" s="79" t="n">
        <x:v>2025</x:v>
      </x:c>
      <x:c r="D84" s="70" t="str">
        <x:v>Li et al., “BridgeVLA: Input-output alignment for efficient 3D manipulation learning,” arXiv preprint arXiv:2506.07961, 2025.</x:v>
      </x:c>
      <x:c r="E84" s="70" t="str">
        <x:v>BridgeVLA projects three-dimensional observations into multiple image views and predicts spatial action heatmaps. This design aligns visual inputs with the spatial representation of control outputs.</x:v>
      </x:c>
      <x:c r="F84" s="81" t="str">
        <x:v>https://arxiv.org/abs/2506.07961</x:v>
      </x:c>
      <x:c r="G84" s="70" t="str">
        <x:v>Paper</x:v>
      </x:c>
      <x:c r="H84" s="80" t="str">
        <x:v>Pending</x:v>
      </x:c>
    </x:row>
    <x:row r="85" ht="72" customHeight="1">
      <x:c r="A85" s="79" t="n">
        <x:v>77</x:v>
      </x:c>
      <x:c r="B85" s="70" t="str">
        <x:v>graspvla</x:v>
      </x:c>
      <x:c r="C85" s="79" t="n">
        <x:v>2025</x:v>
      </x:c>
      <x:c r="D85" s="70" t="str">
        <x:v>S. Deng, M. Yan, S. Wei, H. Ma, Y. Yang, J. Chen, Z. Zhang, T. Yang, X. Zhang, W. Zhang, H. Cui, Z. Zhang, and H. Wang, “GraspVLA: A grasping foundation model pre-trained on billion-scale synthetic action data,” arXiv preprint arXiv:2505.03233, 2025.</x:v>
      </x:c>
      <x:c r="E85" s="70" t="str">
        <x:v>GraspVLA combines autoregressive perception with flow-matching action generation for grasping. Its training integrates synthetic robot data with semantic pretraining to support generalizable grasp behavior.</x:v>
      </x:c>
      <x:c r="F85" s="81" t="str">
        <x:v>https://arxiv.org/abs/2505.03233</x:v>
      </x:c>
      <x:c r="G85" s="70" t="str">
        <x:v>Paper</x:v>
      </x:c>
      <x:c r="H85" s="80" t="str">
        <x:v>Pending</x:v>
      </x:c>
    </x:row>
    <x:row r="86" ht="62" customHeight="1">
      <x:c r="A86" s="79" t="n">
        <x:v>78</x:v>
      </x:c>
      <x:c r="B86" s="70" t="str">
        <x:v>geovla</x:v>
      </x:c>
      <x:c r="C86" s="79" t="n">
        <x:v>2025</x:v>
      </x:c>
      <x:c r="D86" s="70" t="str">
        <x:v>Sun et al., “GeoVLA: Empowering 3D representations in vision-language-action models,” arXiv preprint arXiv:2508.09071, 2025.</x:v>
      </x:c>
      <x:c r="E86" s="70" t="str">
        <x:v>GeoVLA fuses image-language representations with point-cloud geometry in an action expert. This spatial interface supplies three-dimensional context for language-conditioned manipulation.</x:v>
      </x:c>
      <x:c r="F86" s="81" t="str">
        <x:v>https://arxiv.org/abs/2508.09071</x:v>
      </x:c>
      <x:c r="G86" s="70" t="str">
        <x:v>Paper</x:v>
      </x:c>
      <x:c r="H86" s="80" t="str">
        <x:v>Pending</x:v>
      </x:c>
    </x:row>
    <x:row r="87" ht="62" customHeight="1">
      <x:c r="A87" s="79" t="n">
        <x:v>79</x:v>
      </x:c>
      <x:c r="B87" s="70" t="str">
        <x:v>cavla</x:v>
      </x:c>
      <x:c r="C87" s="79" t="n">
        <x:v>2025</x:v>
      </x:c>
      <x:c r="D87" s="70" t="str">
        <x:v>Bhat et al., “3D CAVLA: Leveraging depth and 3D context to generalize vision-language-action models for unseen tasks,” arXiv preprint arXiv:2505.05800, 2025.</x:v>
      </x:c>
      <x:c r="E87" s="70" t="str">
        <x:v>3D-CAVLA combines depth information, task-relevant visual regions, and intermediate reasoning for VLA adaptation. These cues support manipulation in tasks beyond those seen during training.</x:v>
      </x:c>
      <x:c r="F87" s="81" t="str">
        <x:v>https://arxiv.org/abs/2505.05800</x:v>
      </x:c>
      <x:c r="G87" s="70" t="str">
        <x:v>Paper</x:v>
      </x:c>
      <x:c r="H87" s="80" t="str">
        <x:v>Pending</x:v>
      </x:c>
    </x:row>
    <x:row r="88" ht="62" customHeight="1">
      <x:c r="A88" s="79" t="n">
        <x:v>80</x:v>
      </x:c>
      <x:c r="B88" s="70" t="str">
        <x:v>irevla</x:v>
      </x:c>
      <x:c r="C88" s="79" t="n">
        <x:v>2025</x:v>
      </x:c>
      <x:c r="D88" s="70" t="str">
        <x:v>Y. Guo et al., “Improving vision-language-action model with online reinforcement learning,” in Proc. IEEE Int. Conf. Robot. Autom. (ICRA), 2025, arXiv:2501.16664.</x:v>
      </x:c>
      <x:c r="E88" s="70" t="str">
        <x:v>iRe-VLA alternates reinforcement-learning improvement with supervised learning. This alternating procedure aims to stabilize interactive adaptation of pretrained VLA policies.</x:v>
      </x:c>
      <x:c r="F88" s="81" t="str">
        <x:v>https://arxiv.org/abs/2501.16664</x:v>
      </x:c>
      <x:c r="G88" s="70" t="str">
        <x:v>Paper</x:v>
      </x:c>
      <x:c r="H88" s="80" t="str">
        <x:v>Pending</x:v>
      </x:c>
    </x:row>
    <x:row r="89" ht="62" customHeight="1">
      <x:c r="A89" s="79" t="n">
        <x:v>81</x:v>
      </x:c>
      <x:c r="B89" s="70" t="str">
        <x:v>grape</x:v>
      </x:c>
      <x:c r="C89" s="79" t="n">
        <x:v>2024</x:v>
      </x:c>
      <x:c r="D89" s="70" t="str">
        <x:v>Z. Zhang et al., “GRAPE: Generalizing robot policy via preference alignment,” arXiv preprint arXiv:2411.19309, 2024.</x:v>
      </x:c>
      <x:c r="E89" s="70" t="str">
        <x:v>GRAPE aligns robot policies using trajectory preferences derived from successful and unsuccessful behavior. Task-specific spatial and temporal constraints guide the preference-based training signal.</x:v>
      </x:c>
      <x:c r="F89" s="81" t="str">
        <x:v>https://arxiv.org/abs/2411.19309</x:v>
      </x:c>
      <x:c r="G89" s="70" t="str">
        <x:v>Paper</x:v>
      </x:c>
      <x:c r="H89" s="80" t="str">
        <x:v>Pending</x:v>
      </x:c>
    </x:row>
    <x:row r="90" ht="62" customHeight="1">
      <x:c r="A90" s="79" t="n">
        <x:v>82</x:v>
      </x:c>
      <x:c r="B90" s="70" t="str">
        <x:v>rldg</x:v>
      </x:c>
      <x:c r="C90" s="79" t="n">
        <x:v>2024</x:v>
      </x:c>
      <x:c r="D90" s="70" t="str">
        <x:v>Xu et al., “RLDG: Robotic generalist policy distillation via reinforcement learning,” arXiv preprint arXiv:2412.09858, 2024.</x:v>
      </x:c>
      <x:c r="E90" s="70" t="str">
        <x:v>RLDG distills trajectories produced by task-specific reinforcement-learning policies into a generalist robot policy. It uses specialist behavior as an additional source of training data for generalist control.</x:v>
      </x:c>
      <x:c r="F90" s="81" t="str">
        <x:v>https://arxiv.org/abs/2412.09858</x:v>
      </x:c>
      <x:c r="G90" s="70" t="str">
        <x:v>Paper</x:v>
      </x:c>
      <x:c r="H90" s="80" t="str">
        <x:v>Pending</x:v>
      </x:c>
    </x:row>
    <x:row r="91" ht="62" customHeight="1">
      <x:c r="A91" s="79" t="n">
        <x:v>83</x:v>
      </x:c>
      <x:c r="B91" s="70" t="str">
        <x:v>conrft</x:v>
      </x:c>
      <x:c r="C91" s="79" t="n">
        <x:v>2025</x:v>
      </x:c>
      <x:c r="D91" s="70" t="str">
        <x:v>Chen et al., “ConRFT: A reinforced fine-tuning method for VLA models via consistency policy,” arXiv preprint arXiv:2502.05450, 2025.</x:v>
      </x:c>
      <x:c r="E91" s="70" t="str">
        <x:v>ConRFT fine-tunes VLA policies through offline and online reinforcement learning with a consistency-based objective. Human intervention during online learning supports adaptation to physical manipulation tasks.</x:v>
      </x:c>
      <x:c r="F91" s="81" t="str">
        <x:v>https://arxiv.org/abs/2502.05450</x:v>
      </x:c>
      <x:c r="G91" s="70" t="str">
        <x:v>Paper</x:v>
      </x:c>
      <x:c r="H91" s="80" t="str">
        <x:v>Pending</x:v>
      </x:c>
    </x:row>
    <x:row r="92" ht="62" customHeight="1">
      <x:c r="A92" s="79" t="n">
        <x:v>84</x:v>
      </x:c>
      <x:c r="B92" s="70" t="str">
        <x:v>vlarl</x:v>
      </x:c>
      <x:c r="C92" s="79" t="n">
        <x:v>2025</x:v>
      </x:c>
      <x:c r="D92" s="70" t="str">
        <x:v>Lu et al., “VLA-RL: Towards masterful and general robotic manipulation with scalable reinforcement learning,” arXiv preprint arXiv:2505.18719, 2025.</x:v>
      </x:c>
      <x:c r="E92" s="70" t="str">
        <x:v>VLA-RL applies online reinforcement learning to autoregressive VLA policies. Its framework combines scalable training infrastructure with a learned progress-reward model.</x:v>
      </x:c>
      <x:c r="F92" s="81" t="str">
        <x:v>https://arxiv.org/abs/2505.18719</x:v>
      </x:c>
      <x:c r="G92" s="70" t="str">
        <x:v>Paper</x:v>
      </x:c>
      <x:c r="H92" s="80" t="str">
        <x:v>Pending</x:v>
      </x:c>
    </x:row>
    <x:row r="93" ht="72" customHeight="1">
      <x:c r="A93" s="79" t="n">
        <x:v>85</x:v>
      </x:c>
      <x:c r="B93" s="70" t="str">
        <x:v>flarerl</x:v>
      </x:c>
      <x:c r="C93" s="79" t="n">
        <x:v>2025</x:v>
      </x:c>
      <x:c r="D93" s="70" t="str">
        <x:v>J. Hu, R. Hendrix, A. Farhadi, A. Kembhavi, R. Martín-Martín, P. Stone, K.-H. Zeng, and K. Ehsani, “FLaRe: Achieving masterful and adaptive robot policies with large-scale reinforcement learning fine-tuning,” in Proc. IEEE Int. Conf. Robot. Autom. (ICRA), 2025, arXiv:2409.16578.</x:v>
      </x:c>
      <x:c r="E93" s="70" t="str">
        <x:v>FLaRe uses large-scale reinforcement-learning fine-tuning to improve pretrained robot policies. It is distinct from FLARE, the separate method for aligning policy features with future latent representations.</x:v>
      </x:c>
      <x:c r="F93" s="81" t="str">
        <x:v>https://arxiv.org/abs/2409.16578</x:v>
      </x:c>
      <x:c r="G93" s="70" t="str">
        <x:v>Paper</x:v>
      </x:c>
      <x:c r="H93" s="80" t="str">
        <x:v>Pending</x:v>
      </x:c>
    </x:row>
    <x:row r="94" ht="72" customHeight="1">
      <x:c r="A94" s="79" t="n">
        <x:v>86</x:v>
      </x:c>
      <x:c r="B94" s="70" t="str">
        <x:v>tinyvla</x:v>
      </x:c>
      <x:c r="C94" s="79" t="n">
        <x:v>2025</x:v>
      </x:c>
      <x:c r="D94" s="70" t="str">
        <x:v>J. Wen, Y. Zhu, J. Li, M. Zhu, K. Wu, Z. Xu, N. Liu, R. Cheng, C. Shen, Y. Peng et al., “TinyVLA: Towards fast, data-efficient vision-language-action models for robotic manipulation,” IEEE Robot. Autom. Lett., 2025, arXiv:2409.12514.</x:v>
      </x:c>
      <x:c r="E94" s="70" t="str">
        <x:v>TinyVLA combines a compact multimodal backbone with a diffusion action decoder. It targets manipulation learning with lower computation and fewer demonstrations.</x:v>
      </x:c>
      <x:c r="F94" s="81" t="str">
        <x:v>https://arxiv.org/abs/2409.12514</x:v>
      </x:c>
      <x:c r="G94" s="70" t="str">
        <x:v>Paper</x:v>
      </x:c>
      <x:c r="H94" s="80" t="str">
        <x:v>Pending</x:v>
      </x:c>
    </x:row>
    <x:row r="95" ht="72" customHeight="1">
      <x:c r="A95" s="79" t="n">
        <x:v>87</x:v>
      </x:c>
      <x:c r="B95" s="70" t="str">
        <x:v>smolvla</x:v>
      </x:c>
      <x:c r="C95" s="79" t="n">
        <x:v>2025</x:v>
      </x:c>
      <x:c r="D95" s="70" t="str">
        <x:v>M. Shukor, D. Aubakirova, F. Capuano, P. Kooijmans, S. Palma, A. Zouitine, M. Aractingi, C. Pascal, M. Russi, A. Marafioti et al., “SmolVLA: A vision-language-action model for affordable and efficient robotics,” arXiv preprint arXiv:2506.01844, 2025.</x:v>
      </x:c>
      <x:c r="E95" s="70" t="str">
        <x:v>SmolVLA uses a compact vision-language backbone and a flow-matching action expert. Its asynchronous inference design supports robot deployment with modest computational resources.</x:v>
      </x:c>
      <x:c r="F95" s="81" t="str">
        <x:v>https://arxiv.org/abs/2506.01844</x:v>
      </x:c>
      <x:c r="G95" s="70" t="str">
        <x:v>Paper</x:v>
      </x:c>
      <x:c r="H95" s="80" t="str">
        <x:v>Pending</x:v>
      </x:c>
    </x:row>
    <x:row r="96" ht="62" customHeight="1">
      <x:c r="A96" s="79" t="n">
        <x:v>88</x:v>
      </x:c>
      <x:c r="B96" s="70" t="str">
        <x:v>edgevla</x:v>
      </x:c>
      <x:c r="C96" s="79" t="n">
        <x:v>2025</x:v>
      </x:c>
      <x:c r="D96" s="70" t="str">
        <x:v>Budzianowski et al., “EdgeVLA: Efficient vision-language-action models for edge deployment,” arXiv preprint arXiv:2507.14049, 2025.</x:v>
      </x:c>
      <x:c r="E96" s="70" t="str">
        <x:v>EdgeVLA combines a smaller language backbone with non-autoregressive action prediction. It targets reduced inference and memory costs on resource-constrained robot hardware.</x:v>
      </x:c>
      <x:c r="F96" s="81" t="str">
        <x:v>https://arxiv.org/abs/2507.14049</x:v>
      </x:c>
      <x:c r="G96" s="70" t="str">
        <x:v>Paper</x:v>
      </x:c>
      <x:c r="H96" s="80" t="str">
        <x:v>Pending</x:v>
      </x:c>
    </x:row>
    <x:row r="97" ht="72" customHeight="1">
      <x:c r="A97" s="79" t="n">
        <x:v>89</x:v>
      </x:c>
      <x:c r="B97" s="70" t="str">
        <x:v>robomamba</x:v>
      </x:c>
      <x:c r="C97" s="79" t="n">
        <x:v>2024</x:v>
      </x:c>
      <x:c r="D97" s="70" t="str">
        <x:v>J. Liu, M. Liu, Z. Wang, L. Lee, K. Zhou, P. An, S. Yang, R. Zhang, Y. Guo, and S. Zhang, “RoboMamba: Multimodal state space model for efficient robot reasoning and manipulation,” in Adv. Neural Inf. Process. Syst. (NeurIPS), 2024, arXiv:2406.04339.</x:v>
      </x:c>
      <x:c r="E97" s="70" t="str">
        <x:v>RoboMamba uses a Mamba state-space backbone for multimodal reasoning and robot-action prediction. It explores efficient language-conditioned manipulation through this alternative sequence-model architecture.</x:v>
      </x:c>
      <x:c r="F97" s="81" t="str">
        <x:v>https://arxiv.org/abs/2406.04339</x:v>
      </x:c>
      <x:c r="G97" s="70" t="str">
        <x:v>Paper</x:v>
      </x:c>
      <x:c r="H97" s="80" t="str">
        <x:v>Pending</x:v>
      </x:c>
    </x:row>
    <x:row r="98" ht="62" customHeight="1">
      <x:c r="A98" s="79" t="n">
        <x:v>90</x:v>
      </x:c>
      <x:c r="B98" s="70" t="str">
        <x:v>bitvla</x:v>
      </x:c>
      <x:c r="C98" s="79" t="n">
        <x:v>2025</x:v>
      </x:c>
      <x:c r="D98" s="70" t="str">
        <x:v>H. Wang, C. Xiong, R. Wang, and X. Chen, “BitVLA: 1-bit vision-language-action models for robotics manipulation,” arXiv preprint arXiv:2506.07530, 2025.</x:v>
      </x:c>
      <x:c r="E98" s="70" t="str">
        <x:v>BitVLA combines low-bit model weights with visual-encoder compression to reduce the memory and inference demands of a VLA policy. It addresses resource-efficient manipulation deployment rather than explicit prediction of action consequences.</x:v>
      </x:c>
      <x:c r="F98" s="81" t="str">
        <x:v>https://arxiv.org/abs/2506.07530</x:v>
      </x:c>
      <x:c r="G98" s="70" t="str">
        <x:v>Paper</x:v>
      </x:c>
      <x:c r="H98" s="80" t="str">
        <x:v>Pending</x:v>
      </x:c>
    </x:row>
    <x:row r="99" ht="62" customHeight="1">
      <x:c r="A99" s="79" t="n">
        <x:v>91</x:v>
      </x:c>
      <x:c r="B99" s="70" t="str">
        <x:v>vlacache</x:v>
      </x:c>
      <x:c r="C99" s="79" t="n">
        <x:v>2025</x:v>
      </x:c>
      <x:c r="D99" s="70" t="str">
        <x:v>Xu et al., “VLA-Cache: Towards efficient vision-language-action model via adaptive token caching,” arXiv preprint arXiv:2502.02175, 2025.</x:v>
      </x:c>
      <x:c r="E99" s="70" t="str">
        <x:v>VLA-Cache reuses visual tokens that change little between observations while recomputing task-relevant information. This reduces repeated inference work in an existing VLA control pipeline.</x:v>
      </x:c>
      <x:c r="F99" s="81" t="str">
        <x:v>https://arxiv.org/abs/2502.02175</x:v>
      </x:c>
      <x:c r="G99" s="70" t="str">
        <x:v>Paper</x:v>
      </x:c>
      <x:c r="H99" s="80" t="str">
        <x:v>Pending</x:v>
      </x:c>
    </x:row>
    <x:row r="100" ht="62" customHeight="1">
      <x:c r="A100" s="79" t="n">
        <x:v>92</x:v>
      </x:c>
      <x:c r="B100" s="70" t="str">
        <x:v>efficientvla</x:v>
      </x:c>
      <x:c r="C100" s="79" t="n">
        <x:v>2025</x:v>
      </x:c>
      <x:c r="D100" s="70" t="str">
        <x:v>Yang et al., “EfficientVLA: Training-free acceleration and compression for vision-language-action models,” arXiv preprint arXiv:2506.10100, 2025.</x:v>
      </x:c>
      <x:c r="E100" s="70" t="str">
        <x:v>EfficientVLA accelerates existing policies through language-layer pruning, visual-token selection, and reuse of diffusion-head features. Its contribution is a training-free reduction of policy inference cost.</x:v>
      </x:c>
      <x:c r="F100" s="81" t="str">
        <x:v>https://arxiv.org/abs/2506.10100</x:v>
      </x:c>
      <x:c r="G100" s="70" t="str">
        <x:v>Paper</x:v>
      </x:c>
      <x:c r="H100" s="80" t="str">
        <x:v>Pending</x:v>
      </x:c>
    </x:row>
    <x:row r="101" ht="62" customHeight="1">
      <x:c r="A101" s="79" t="n">
        <x:v>93</x:v>
      </x:c>
      <x:c r="B101" s="70" t="str">
        <x:v>pdvla</x:v>
      </x:c>
      <x:c r="C101" s="79" t="n">
        <x:v>2025</x:v>
      </x:c>
      <x:c r="D101" s="70" t="str">
        <x:v>Song et al., “Accelerating vision-language-action model integrated with action chunking via parallel decoding,” arXiv preprint arXiv:2503.02310, 2025.</x:v>
      </x:c>
      <x:c r="E101" s="70" t="str">
        <x:v>PD-VLA applies parallel fixed-point iterations to decode action chunks from an autoregressive VLA. It targets action-generation latency while retaining the policy formulation of robot control.</x:v>
      </x:c>
      <x:c r="F101" s="81" t="str">
        <x:v>https://arxiv.org/abs/2503.02310</x:v>
      </x:c>
      <x:c r="G101" s="70" t="str">
        <x:v>Paper</x:v>
      </x:c>
      <x:c r="H101" s="80" t="str">
        <x:v>Pending</x:v>
      </x:c>
    </x:row>
    <x:row r="102" ht="62" customHeight="1">
      <x:c r="A102" s="79" t="n">
        <x:v>94</x:v>
      </x:c>
      <x:c r="B102" s="70" t="str">
        <x:v>ceedvla</x:v>
      </x:c>
      <x:c r="C102" s="79" t="n">
        <x:v>2025</x:v>
      </x:c>
      <x:c r="D102" s="70" t="str">
        <x:v>–––, “CEED-VLA: Consistency vision-language-action model with early-exit decoding,” arXiv preprint arXiv:2506.13725, 2025.</x:v>
      </x:c>
      <x:c r="E102" s="70" t="str">
        <x:v>CEED-VLA uses consistency distillation and early-exit decoding to accelerate action-token generation. It studies efficient execution of VLA policies under constrained inference budgets.</x:v>
      </x:c>
      <x:c r="F102" s="81" t="str">
        <x:v>https://arxiv.org/abs/2506.13725</x:v>
      </x:c>
      <x:c r="G102" s="70" t="str">
        <x:v>Paper</x:v>
      </x:c>
      <x:c r="H102" s="80" t="str">
        <x:v>Pending</x:v>
      </x:c>
    </x:row>
    <x:row r="103" ht="72" customHeight="1">
      <x:c r="A103" s="79" t="n">
        <x:v>95</x:v>
      </x:c>
      <x:c r="B103" s="70" t="str">
        <x:v>deervla</x:v>
      </x:c>
      <x:c r="C103" s="79" t="n">
        <x:v>2024</x:v>
      </x:c>
      <x:c r="D103" s="70" t="str">
        <x:v>Y. Yue, Y. Wang, B. Kang, Y. Han, S. Wang, S. Song, J. Feng, and G. Huang, “DeeR-VLA: Dynamic inference of multimodal large language models for efficient robot execution,” in Advances in Neural Information Processing Systems (NeurIPS), 2024, arXiv:2411.02359.</x:v>
      </x:c>
      <x:c r="E103" s="70" t="str">
        <x:v>DeeR-VLA equips a multimodal policy backbone with multiple exits so that inference depth can vary with the current input. It links robot execution efficiency to adaptive computation rather than a fixed processing depth.</x:v>
      </x:c>
      <x:c r="F103" s="81" t="str">
        <x:v>https://arxiv.org/abs/2411.02359</x:v>
      </x:c>
      <x:c r="G103" s="70" t="str">
        <x:v>Paper</x:v>
      </x:c>
      <x:c r="H103" s="80" t="str">
        <x:v>Pending</x:v>
      </x:c>
    </x:row>
    <x:row r="104" ht="62" customHeight="1">
      <x:c r="A104" s="79" t="n">
        <x:v>96</x:v>
      </x:c>
      <x:c r="B104" s="70" t="str">
        <x:v>geminiondevice</x:v>
      </x:c>
      <x:c r="C104" s="79" t="n">
        <x:v>2025</x:v>
      </x:c>
      <x:c r="D104" s="70" t="str">
        <x:v>Google DeepMind, “Gemini Robotics On-Device: Bringing AI to local robotic devices,” Google DeepMind announcement, 2025.</x:v>
      </x:c>
      <x:c r="E104" s="70" t="str">
        <x:v>Gemini Robotics On-Device is a vendor-reported VLA designed to run locally on robot hardware. The release describes adaptation to manipulation tasks through fine-tuning and provides context for on-device deployment.</x:v>
      </x:c>
      <x:c r="F104" s="81" t="str">
        <x:v>https://deepmind.google/blog/gemini-robotics-on-device-brings-ai-to-local-robotic-devices/</x:v>
      </x:c>
      <x:c r="G104" s="70" t="str">
        <x:v>Technical release / software</x:v>
      </x:c>
      <x:c r="H104" s="80" t="str">
        <x:v>Pending</x:v>
      </x:c>
    </x:row>
    <x:row r="105" ht="72" customHeight="1">
      <x:c r="A105" s="79" t="n">
        <x:v>97</x:v>
      </x:c>
      <x:c r="B105" s="70" t="str">
        <x:v>owmmagent</x:v>
      </x:c>
      <x:c r="C105" s="79" t="n">
        <x:v>2025</x:v>
      </x:c>
      <x:c r="D105" s="70" t="str">
        <x:v>J. Chen, H. Liang, L. Du, W. Wang, M. Hu, Y. Mu, W. Wang, J. Dai, P. Luo, W. Shao, and L. Shao, “OWMM-Agent: Open world mobile manipulation with multi-modal agentic data synthesis,” in Advances in Neural Information Processing Systems (NeurIPS), 2025, arXiv:2506.04217.</x:v>
      </x:c>
      <x:c r="E105" s="70" t="str">
        <x:v>OWMM-Agent uses multimodal scene and robot-state context to coordinate mobile manipulation through function calls. Its associated instruction tuning supports an agentic integration of perception, navigation, and manipulation components.</x:v>
      </x:c>
      <x:c r="F105" s="81" t="str">
        <x:v>https://arxiv.org/abs/2506.04217</x:v>
      </x:c>
      <x:c r="G105" s="70" t="str">
        <x:v>Paper</x:v>
      </x:c>
      <x:c r="H105" s="80" t="str">
        <x:v>Pending</x:v>
      </x:c>
    </x:row>
    <x:row r="106" ht="62" customHeight="1">
      <x:c r="A106" s="79" t="n">
        <x:v>98</x:v>
      </x:c>
      <x:c r="B106" s="70" t="str">
        <x:v>okrobot</x:v>
      </x:c>
      <x:c r="C106" s="79" t="n">
        <x:v>2024</x:v>
      </x:c>
      <x:c r="D106" s="70" t="str">
        <x:v>P. Liu, Y. Orru, J. Vakil, C. Paxton, N. M. M. Shafiullah, and L. Pinto, “OK-Robot: What really matters in integrating open-knowledge models for robotics,” arXiv preprint arXiv:2401.12202, 2024.</x:v>
      </x:c>
      <x:c r="E106" s="70" t="str">
        <x:v>OK-Robot integrates open perception, navigation, and grasping components for language-directed mobile manipulation. It studies how these components work together in unfamiliar environments.</x:v>
      </x:c>
      <x:c r="F106" s="81" t="str">
        <x:v>https://arxiv.org/abs/2401.12202</x:v>
      </x:c>
      <x:c r="G106" s="70" t="str">
        <x:v>Paper</x:v>
      </x:c>
      <x:c r="H106" s="80" t="str">
        <x:v>Pending</x:v>
      </x:c>
    </x:row>
    <x:row r="107" ht="62" customHeight="1">
      <x:c r="A107" s="79" t="n">
        <x:v>99</x:v>
      </x:c>
      <x:c r="B107" s="70" t="str">
        <x:v>longvla</x:v>
      </x:c>
      <x:c r="C107" s="79" t="n">
        <x:v>2025</x:v>
      </x:c>
      <x:c r="D107" s="70" t="str">
        <x:v>Fan et al., “Long-VLA: Unleashing long-horizon capability of vision-language-action models,” arXiv preprint arXiv:2508.19958, 2025.</x:v>
      </x:c>
      <x:c r="E107" s="70" t="str">
        <x:v>Long-VLA uses phase-aware masking of sensory inputs to support coordination across successive subtasks. It addresses error accumulation and execution over extended manipulation horizons.</x:v>
      </x:c>
      <x:c r="F107" s="81" t="str">
        <x:v>https://arxiv.org/abs/2508.19958</x:v>
      </x:c>
      <x:c r="G107" s="70" t="str">
        <x:v>Paper</x:v>
      </x:c>
      <x:c r="H107" s="80" t="str">
        <x:v>Pending</x:v>
      </x:c>
    </x:row>
    <x:row r="108" ht="62" customHeight="1">
      <x:c r="A108" s="79" t="n">
        <x:v>100</x:v>
      </x:c>
      <x:c r="B108" s="70" t="str">
        <x:v>lohovla</x:v>
      </x:c>
      <x:c r="C108" s="79" t="n">
        <x:v>2025</x:v>
      </x:c>
      <x:c r="D108" s="70" t="str">
        <x:v>Yang et al., “LoHoVLA: A unified vision-language-action model for long-horizon embodied tasks,” arXiv preprint arXiv:2506.00411, 2025.</x:v>
      </x:c>
      <x:c r="E108" s="70" t="str">
        <x:v>LoHoVLA jointly generates subtask language and robot-action tokens. Hierarchical feedback connects these outputs during multi-step embodied task execution.</x:v>
      </x:c>
      <x:c r="F108" s="81" t="str">
        <x:v>https://arxiv.org/abs/2506.00411</x:v>
      </x:c>
      <x:c r="G108" s="70" t="str">
        <x:v>Paper</x:v>
      </x:c>
      <x:c r="H108" s="80" t="str">
        <x:v>Pending</x:v>
      </x:c>
    </x:row>
    <x:row r="109" ht="62" customHeight="1">
      <x:c r="A109" s="79" t="n">
        <x:v>101</x:v>
      </x:c>
      <x:c r="B109" s="70" t="str">
        <x:v>grootn15</x:v>
      </x:c>
      <x:c r="C109" s="79" t="n">
        <x:v>2025</x:v>
      </x:c>
      <x:c r="D109" s="70" t="str">
        <x:v>NVIDIA GEAR Lab, “GR00T N1.5: An improved open foundation model for generalist humanoid robots,” NVIDIA Research, , 2025.</x:v>
      </x:c>
      <x:c r="E109" s="70" t="str">
        <x:v>GR00T N1.5 extends the GR00T humanoid policy family with changes to its architecture and training data. The official release describes future-latent representation alignment as a component of policy learning.</x:v>
      </x:c>
      <x:c r="F109" s="81" t="str">
        <x:v>https://research.nvidia.com/labs/gear/gr00t-n1_5/</x:v>
      </x:c>
      <x:c r="G109" s="70" t="str">
        <x:v>Technical release / software</x:v>
      </x:c>
      <x:c r="H109" s="80" t="str">
        <x:v>Pending</x:v>
      </x:c>
    </x:row>
    <x:row r="110" ht="62" customHeight="1">
      <x:c r="A110" s="79" t="n">
        <x:v>102</x:v>
      </x:c>
      <x:c r="B110" s="70" t="str">
        <x:v>grootn17</x:v>
      </x:c>
      <x:c r="C110" s="79" t="n">
        <x:v>2026</x:v>
      </x:c>
      <x:c r="D110" s="70" t="str">
        <x:v>NVIDIA, “GR00T-N1.7-3B model card,” Hugging Face, 2026, accessed: Sep. 30, 2026.</x:v>
      </x:c>
      <x:c r="E110" s="70" t="str">
        <x:v>GR00T N1.7 is a cross-embodiment robot policy that conditions action chunks on visual observations, language, and proprioception. Its released model uses a flow-matching action transformer and supports post-training for particular robots and tasks.</x:v>
      </x:c>
      <x:c r="F110" s="81" t="str">
        <x:v>https://huggingface.co/nvidia/GR00T-N1.7-3B</x:v>
      </x:c>
      <x:c r="G110" s="70" t="str">
        <x:v>Technical release / software</x:v>
      </x:c>
      <x:c r="H110" s="80" t="str">
        <x:v>Pending</x:v>
      </x:c>
    </x:row>
    <x:row r="111" ht="72" customHeight="1">
      <x:c r="A111" s="79" t="n">
        <x:v>103</x:v>
      </x:c>
      <x:c r="B111" s="70" t="str">
        <x:v>pi07</x:v>
      </x:c>
      <x:c r="C111" s="79" t="n">
        <x:v>2026</x:v>
      </x:c>
      <x:c r="D111" s="70" t="str">
        <x:v>Physical Intelligence, B. Ai, A. Amin, R. Aniceto, A. Balakrishna, G. Balke, K. Black, G. Bokinsky, S. Cao, T. Charbonnier et al., “π0.7: A steerable generalist robotic foundation model with emergent capabilities,” arXiv preprint arXiv:2604.15483, 2026.</x:v>
      </x:c>
      <x:c r="E111" s="70" t="str">
        <x:v>π0.7 conditions a generalist robot policy on language and additional context such as subgoal images and task-performance metadata. This conditioning supports steering the execution strategy while training on demonstrations, autonomous experience, and non-robot data.</x:v>
      </x:c>
      <x:c r="F111" s="81" t="str">
        <x:v>https://arxiv.org/abs/2604.15483</x:v>
      </x:c>
      <x:c r="G111" s="70" t="str">
        <x:v>Paper</x:v>
      </x:c>
      <x:c r="H111" s="80" t="str">
        <x:v>Pending</x:v>
      </x:c>
    </x:row>
    <x:row r="112" ht="87" customHeight="1">
      <x:c r="A112" s="79" t="n">
        <x:v>104</x:v>
      </x:c>
      <x:c r="B112" s="70" t="str">
        <x:v>lingbotvla2</x:v>
      </x:c>
      <x:c r="C112" s="79" t="n">
        <x:v>2026</x:v>
      </x:c>
      <x:c r="D112" s="70" t="str">
        <x:v>W. Wu, F. Wang, F. Lu, H. Sun, S. Liu, Y. Wang, Y. Yan, Y. Wang, S. Ma, X. Wang, Y. Liu, S. Yang, T. Zhou, K. Zhang, L. Zhou, C. Su, N. Xue, B. Tan, H. Zhang, Y. Zhang, F. Liao, X. Zhu, Y. Shen, and K. Zheng, “From foundation to application: Improving VLA models in practice,” arXiv preprint arXiv:2607.06403, 2026.</x:v>
      </x:c>
      <x:c r="E112" s="70" t="str">
        <x:v>LingBot-VLA 2.0 extends a generalist VLA with whole-body action spaces and training across multiple robot embodiments and human videos. Auxiliary future prediction uses video-representation and depth-estimation supervision to connect action learning with temporal and geometric information.</x:v>
      </x:c>
      <x:c r="F112" s="81" t="str">
        <x:v>https://arxiv.org/abs/2607.06403</x:v>
      </x:c>
      <x:c r="G112" s="70" t="str">
        <x:v>Paper</x:v>
      </x:c>
      <x:c r="H112" s="80" t="str">
        <x:v>Pending</x:v>
      </x:c>
    </x:row>
    <x:row r="113" ht="72" customHeight="1">
      <x:c r="A113" s="79" t="n">
        <x:v>105</x:v>
      </x:c>
      <x:c r="B113" s="70" t="str">
        <x:v>gr2</x:v>
      </x:c>
      <x:c r="C113" s="79" t="n">
        <x:v>2024</x:v>
      </x:c>
      <x:c r="D113" s="70" t="str">
        <x:v>C.-L. Cheang, G. Chen, Y. Jing, T. Kong, H. Li, Y. Li, Y. Liu, H. Wu, J. Xu, Y. Yang et al., “GR-2: A generative video-language-action model with web-scale knowledge for robot manipulation,” arXiv preprint arXiv:2410.06158, 2024.</x:v>
      </x:c>
      <x:c r="E113" s="70" t="str">
        <x:v>GR-2 combines large-scale video pretraining with joint video and action learning for robotic manipulation. Its predictive-policy formulation connects visual knowledge from web video to robot trajectories.</x:v>
      </x:c>
      <x:c r="F113" s="81" t="str">
        <x:v>https://arxiv.org/abs/2410.06158</x:v>
      </x:c>
      <x:c r="G113" s="70" t="str">
        <x:v>Paper</x:v>
      </x:c>
      <x:c r="H113" s="80" t="str">
        <x:v>Pending</x:v>
      </x:c>
    </x:row>
    <x:row r="114" ht="62" customHeight="1">
      <x:c r="A114" s="79" t="n">
        <x:v>106</x:v>
      </x:c>
      <x:c r="B114" s="70" t="str">
        <x:v>helix02</x:v>
      </x:c>
      <x:c r="C114" s="79" t="n">
        <x:v>2026</x:v>
      </x:c>
      <x:c r="D114" s="70" t="str">
        <x:v>Figure AI, “Introducing Helix 02: Full-body autonomy,” Figure technical blog, Jan. 2026, jan. 27, 2026. Accessed: Sep. 30, 2026.</x:v>
      </x:c>
      <x:c r="E114" s="70" t="str">
        <x:v>Helix 02 combines language and scene reasoning, a full-body visuomotor policy, and a learned low-level whole-body controller. The vendor describes coordinated locomotion and manipulation using visual, tactile, and proprioceptive inputs.</x:v>
      </x:c>
      <x:c r="F114" s="81" t="str">
        <x:v>https://www.figure.ai/news/helix-02</x:v>
      </x:c>
      <x:c r="G114" s="70" t="str">
        <x:v>Technical release / software</x:v>
      </x:c>
      <x:c r="H114" s="80" t="str">
        <x:v>Pending</x:v>
      </x:c>
    </x:row>
    <x:row r="115" ht="62" customHeight="1">
      <x:c r="A115" s="79" t="n">
        <x:v>107</x:v>
      </x:c>
      <x:c r="B115" s="70" t="str">
        <x:v>dagger</x:v>
      </x:c>
      <x:c r="C115" s="79" t="n">
        <x:v>2011</x:v>
      </x:c>
      <x:c r="D115" s="70" t="str">
        <x:v>S. Ross, G. J. Gordon, and J. A. Bagnell, “A reduction of imitation learning and structured prediction to no-regret online learning,” in Proc. Int. Conf. Artif. Intell. Statist. (AISTATS), 2011.</x:v>
      </x:c>
      <x:c r="E115" s="70" t="str">
        <x:v>DAgger addresses imitation-learning distribution shift by iteratively collecting expert labels on states encountered by the learner. The paper connects this data-aggregation procedure to no-regret online learning and sequential prediction.</x:v>
      </x:c>
      <x:c r="F115" s="81" t="str">
        <x:v>https://proceedings.mlr.press/v15/ross11a/ross11a.pdf</x:v>
      </x:c>
      <x:c r="G115" s="70" t="str">
        <x:v>Paper</x:v>
      </x:c>
      <x:c r="H115" s="80" t="str">
        <x:v>Pending</x:v>
      </x:c>
    </x:row>
    <x:row r="116" ht="72" customHeight="1">
      <x:c r="A116" s="79" t="n">
        <x:v>108</x:v>
      </x:c>
      <x:c r="B116" s="70" t="str">
        <x:v>droid</x:v>
      </x:c>
      <x:c r="C116" s="79" t="n">
        <x:v>2024</x:v>
      </x:c>
      <x:c r="D116" s="70" t="str">
        <x:v>A. Khazatsky, K. Pertsch, S. Nair, A. Balakrishna, S. Dasari, S. Karamcheti, S. Nasiriany, M. K. Srirama, L. Y. Chen, K. Ellis et al., “DROID: A large-scale in-the-wild robot manipulation dataset,” arXiv preprint arXiv:2403.12945, 2024, published RSS 2024.</x:v>
      </x:c>
      <x:c r="E116" s="70" t="str">
        <x:v>DROID provides diverse real-world robot manipulation demonstrations collected across environments. It supports research on policy learning and generalization from robot observations and actions.</x:v>
      </x:c>
      <x:c r="F116" s="81" t="str">
        <x:v>https://arxiv.org/abs/2403.12945</x:v>
      </x:c>
      <x:c r="G116" s="70" t="str">
        <x:v>Paper</x:v>
      </x:c>
      <x:c r="H116" s="80" t="str">
        <x:v>Pending</x:v>
      </x:c>
    </x:row>
    <x:row r="117" ht="62" customHeight="1">
      <x:c r="A117" s="79" t="n">
        <x:v>109</x:v>
      </x:c>
      <x:c r="B117" s="70" t="str">
        <x:v>cosmos</x:v>
      </x:c>
      <x:c r="C117" s="79" t="n">
        <x:v>2025</x:v>
      </x:c>
      <x:c r="D117" s="70" t="str">
        <x:v>NVIDIA, “Cosmos world foundation model platform for physical AI,” arXiv preprint arXiv:2501.03575, 2025.</x:v>
      </x:c>
      <x:c r="E117" s="70" t="str">
        <x:v>Cosmos provides video tokenization and generative world foundation models for physical-AI development. Action conditioning and robot-control use depend on the particular model and its adaptation.</x:v>
      </x:c>
      <x:c r="F117" s="81" t="str">
        <x:v>https://arxiv.org/abs/2501.03575</x:v>
      </x:c>
      <x:c r="G117" s="70" t="str">
        <x:v>Paper</x:v>
      </x:c>
      <x:c r="H117" s="80" t="str">
        <x:v>Pending</x:v>
      </x:c>
    </x:row>
    <x:row r="118" ht="62" customHeight="1">
      <x:c r="A118" s="79" t="n">
        <x:v>110</x:v>
      </x:c>
      <x:c r="B118" s="70" t="str">
        <x:v>physicsiq</x:v>
      </x:c>
      <x:c r="C118" s="79" t="n">
        <x:v>2025</x:v>
      </x:c>
      <x:c r="D118" s="70" t="str">
        <x:v>S. Motamed, L. Culp, K. Swersky, P. Jaini, and R. Geirhos, “Do generative video models understand physical laws?” in Proc. IEEE/CVF Int. Conf. Comput. Vis. (ICCV), 2025, arXiv:2501.09038.</x:v>
      </x:c>
      <x:c r="E118" s="70" t="str">
        <x:v>Physics-IQ evaluates physical prediction using paired real videos rather than visual plausibility alone. It supplies evidence about physical consistency in generative video models without directly measuring robot-control success.</x:v>
      </x:c>
      <x:c r="F118" s="81" t="str">
        <x:v>https://arxiv.org/abs/2501.09038</x:v>
      </x:c>
      <x:c r="G118" s="70" t="str">
        <x:v>Paper</x:v>
      </x:c>
      <x:c r="H118" s="80" t="str">
        <x:v>Pending</x:v>
      </x:c>
    </x:row>
    <x:row r="119" ht="62" customHeight="1">
      <x:c r="A119" s="79" t="n">
        <x:v>111</x:v>
      </x:c>
      <x:c r="B119" s="70" t="str">
        <x:v>wmbench</x:v>
      </x:c>
      <x:c r="C119" s="79" t="n">
        <x:v>2025</x:v>
      </x:c>
      <x:c r="D119" s="70" t="str">
        <x:v>Li et al., “WorldModelBench: Judging video generation models as world models,” arXiv preprint arXiv:2502.20694, 2025.</x:v>
      </x:c>
      <x:c r="E119" s="70" t="str">
        <x:v>WorldModelBench evaluates instruction-conditioned video generation against physical principles. It assesses properties of generated worlds rather than serving as a direct manipulation-policy success benchmark.</x:v>
      </x:c>
      <x:c r="F119" s="81" t="str">
        <x:v>https://arxiv.org/abs/2502.20694</x:v>
      </x:c>
      <x:c r="G119" s="70" t="str">
        <x:v>Paper</x:v>
      </x:c>
      <x:c r="H119" s="80" t="str">
        <x:v>Pending</x:v>
      </x:c>
    </x:row>
    <x:row r="120" ht="62" customHeight="1">
      <x:c r="A120" s="79" t="n">
        <x:v>112</x:v>
      </x:c>
      <x:c r="B120" s="70" t="str">
        <x:v>vbench2</x:v>
      </x:c>
      <x:c r="C120" s="79" t="n">
        <x:v>2025</x:v>
      </x:c>
      <x:c r="D120" s="70" t="str">
        <x:v>Z. Huang et al., “VBench-2.0: Advancing video generation benchmark suite for intrinsic faithfulness,” arXiv preprint arXiv:2503.21755, 2025.</x:v>
      </x:c>
      <x:c r="E120" s="70" t="str">
        <x:v>VBench-2.0 evaluates generated video for human fidelity, controllability, creativity, physics, and commonsense. Its metrics target intrinsic faithfulness beyond surface visual plausibility.</x:v>
      </x:c>
      <x:c r="F120" s="81" t="str">
        <x:v>https://arxiv.org/abs/2503.21755</x:v>
      </x:c>
      <x:c r="G120" s="70" t="str">
        <x:v>Paper</x:v>
      </x:c>
      <x:c r="H120" s="80" t="str">
        <x:v>Pending</x:v>
      </x:c>
    </x:row>
    <x:row r="121" ht="62" customHeight="1">
      <x:c r="A121" s="79" t="n">
        <x:v>113</x:v>
      </x:c>
      <x:c r="B121" s="70" t="str">
        <x:v>simplerenv</x:v>
      </x:c>
      <x:c r="C121" s="79" t="n">
        <x:v>2024</x:v>
      </x:c>
      <x:c r="D121" s="70" t="str">
        <x:v>X. Li, K. Hsu, J. Gu, K. Pertsch, O. Mees, H. R. Walke, C. Fu, I. Lunawat, I. Sieh, S. Kirmani et al., “Evaluating real-world robot manipulation policies in simulation,” arXiv preprint arXiv:2405.05941, 2024.</x:v>
      </x:c>
      <x:c r="E121" s="70" t="str">
        <x:v>SimplerEnv constructs simulated evaluations intended to correspond to physical robot manipulation settings. It studies how closely policy performance in these simulations tracks real-world evaluation.</x:v>
      </x:c>
      <x:c r="F121" s="81" t="str">
        <x:v>https://arxiv.org/abs/2405.05941</x:v>
      </x:c>
      <x:c r="G121" s="70" t="str">
        <x:v>Paper</x:v>
      </x:c>
      <x:c r="H121" s="80" t="str">
        <x:v>Pending</x:v>
      </x:c>
    </x:row>
    <x:row r="122" ht="72" customHeight="1">
      <x:c r="A122" s="79" t="n">
        <x:v>114</x:v>
      </x:c>
      <x:c r="B122" s="70" t="str">
        <x:v>safelibero</x:v>
      </x:c>
      <x:c r="C122" s="79" t="n">
        <x:v>2026</x:v>
      </x:c>
      <x:c r="D122" s="70" t="str">
        <x:v>R. Cui, Z. Zhang, J. Pang, H. Chi, J. Guo, S. Zhang, S. Xie, X. Jin, Y. Mu, J. Yang, G. Yao, X. Zhan, Y.-Q. Zhang, and H. Zhao, “LIBERO-Safety: A comprehensive benchmark for physical and semantic safety in vision-language-action models,” arXiv preprint arXiv:2606.23686, 2026.</x:v>
      </x:c>
      <x:c r="E122" s="70" t="str">
        <x:v>LIBERO-Safety procedurally generates safety-critical manipulation scenarios and accompanying collision-free demonstrations. It evaluates physical and semantic safety properties of embodied policies under task constraints.</x:v>
      </x:c>
      <x:c r="F122" s="81" t="str">
        <x:v>https://arxiv.org/abs/2606.23686</x:v>
      </x:c>
      <x:c r="G122" s="70" t="str">
        <x:v>Paper</x:v>
      </x:c>
      <x:c r="H122" s="80" t="str">
        <x:v>Pending</x:v>
      </x:c>
    </x:row>
    <x:row r="123" ht="72" customHeight="1">
      <x:c r="A123" s="79" t="n">
        <x:v>115</x:v>
      </x:c>
      <x:c r="B123" s="70" t="str">
        <x:v>knowno</x:v>
      </x:c>
      <x:c r="C123" s="79" t="n">
        <x:v>2023</x:v>
      </x:c>
      <x:c r="D123" s="70" t="str">
        <x:v>A. Z. Ren, A. Dixit, A. Bodrova, S. Singh, S. Tu, N. Brown, P. Xu, L. Takayama, F. Xia, J. Varley et al., “Robots that ask for help: Uncertainty alignment for large language model planners,” in Proc. Conf. Robot Learn. (CoRL), 2023, arXiv:2307.01928.</x:v>
      </x:c>
      <x:c r="E123" s="70" t="str">
        <x:v>KnowNo uses conformal prediction to calibrate uncertainty in language-model planning. The framework uses this uncertainty to determine when a robot should request human assistance.</x:v>
      </x:c>
      <x:c r="F123" s="81" t="str">
        <x:v>https://arxiv.org/abs/2307.01928</x:v>
      </x:c>
      <x:c r="G123" s="70" t="str">
        <x:v>Paper</x:v>
      </x:c>
      <x:c r="H123" s="80" t="str">
        <x:v>Pending</x:v>
      </x:c>
    </x:row>
    <x:row r="124" ht="62" customHeight="1">
      <x:c r="A124" s="79" t="n">
        <x:v>116</x:v>
      </x:c>
      <x:c r="B124" s="70" t="str">
        <x:v>cbf</x:v>
      </x:c>
      <x:c r="C124" s="79" t="n">
        <x:v>2019</x:v>
      </x:c>
      <x:c r="D124" s="70" t="str">
        <x:v>A. D. Ames, S. Coogan, M. Egerstedt, G. Notomista, K. Sreenath, and P. Tabuada, “Control barrier functions: Theory and applications,” in Proc. Eur. Control Conf. (ECC), 2019.</x:v>
      </x:c>
      <x:c r="E124" s="70" t="str">
        <x:v>This overview explains how control barrier functions can verify and enforce safety properties of dynamical systems. It connects the theory to optimization-based safety-critical controllers and robotic applications.</x:v>
      </x:c>
      <x:c r="F124" s="81" t="str">
        <x:v>https://arxiv.org/abs/1903.11199</x:v>
      </x:c>
      <x:c r="G124" s="70" t="str">
        <x:v>Paper</x:v>
      </x:c>
      <x:c r="H124" s="80" t="str">
        <x:v>Pending</x:v>
      </x:c>
    </x:row>
    <x:row r="125" ht="62" customHeight="1">
      <x:c r="A125" s="79" t="n">
        <x:v>117</x:v>
      </x:c>
      <x:c r="B125" s="70" t="str">
        <x:v>hjreach</x:v>
      </x:c>
      <x:c r="C125" s="79" t="n">
        <x:v>2017</x:v>
      </x:c>
      <x:c r="D125" s="70" t="str">
        <x:v>S. Bansal, M. Chen, S. Herbert, and C. J. Tomlin, “Hamilton–Jacobi reachability: A brief overview and recent advances,” in Proc. IEEE Conf. Decis. Control (CDC), 2017.</x:v>
      </x:c>
      <x:c r="E125" s="70" t="str">
        <x:v>This tutorial reviews Hamilton-Jacobi reachability for analyzing safety and performance of nonlinear dynamical systems with bounded disturbances. It also discusses numerical tools and approaches to the computational difficulty of high-dimensional systems.</x:v>
      </x:c>
      <x:c r="F125" s="81" t="str">
        <x:v>https://arxiv.org/abs/1709.07523</x:v>
      </x:c>
      <x:c r="G125" s="70" t="str">
        <x:v>Paper</x:v>
      </x:c>
      <x:c r="H125" s="80" t="str">
        <x:v>Pending</x:v>
      </x:c>
    </x:row>
    <x:row r="126" ht="62" customHeight="1">
      <x:c r="A126" s="79" t="n">
        <x:v>118</x:v>
      </x:c>
      <x:c r="B126" s="70" t="str">
        <x:v>worldmodels2018</x:v>
      </x:c>
      <x:c r="C126" s="79" t="n">
        <x:v>2018</x:v>
      </x:c>
      <x:c r="D126" s="70" t="str">
        <x:v>D. Ha and J. Schmidhuber, “World models,” arXiv preprint arXiv:1803.10122, 2018.</x:v>
      </x:c>
      <x:c r="E126" s="70" t="str">
        <x:v>World Models combines a variational image encoder, recurrent latent dynamics, and a compact controller. It demonstrates learning behavior within a learned environment in simulated control tasks.</x:v>
      </x:c>
      <x:c r="F126" s="81" t="str">
        <x:v>https://arxiv.org/abs/1803.10122</x:v>
      </x:c>
      <x:c r="G126" s="70" t="str">
        <x:v>Paper</x:v>
      </x:c>
      <x:c r="H126" s="80" t="str">
        <x:v>Pending</x:v>
      </x:c>
    </x:row>
    <x:row r="127" ht="62" customHeight="1">
      <x:c r="A127" s="79" t="n">
        <x:v>119</x:v>
      </x:c>
      <x:c r="B127" s="70" t="str">
        <x:v>planet</x:v>
      </x:c>
      <x:c r="C127" s="79" t="n">
        <x:v>2019</x:v>
      </x:c>
      <x:c r="D127" s="70" t="str">
        <x:v>D. Hafner, T. Lillicrap, I. Fischer, R. Villegas, D. Ha, H. Lee, and J. Davidson, “Learning latent dynamics for planning from pixels,” in Proc. Int. Conf. Mach. Learn. (ICML), 2019, arXiv:1811.04551.</x:v>
      </x:c>
      <x:c r="E127" s="70" t="str">
        <x:v>PlaNet learns action-conditioned recurrent latent dynamics from images. It uses model-predictive control to select action sequences by evaluating imagined futures.</x:v>
      </x:c>
      <x:c r="F127" s="81" t="str">
        <x:v>https://arxiv.org/abs/1811.04551</x:v>
      </x:c>
      <x:c r="G127" s="70" t="str">
        <x:v>Paper</x:v>
      </x:c>
      <x:c r="H127" s="80" t="str">
        <x:v>Pending</x:v>
      </x:c>
    </x:row>
    <x:row r="128" ht="62" customHeight="1">
      <x:c r="A128" s="79" t="n">
        <x:v>120</x:v>
      </x:c>
      <x:c r="B128" s="70" t="str">
        <x:v>dreamerv3</x:v>
      </x:c>
      <x:c r="C128" s="79" t="n">
        <x:v>2025</x:v>
      </x:c>
      <x:c r="D128" s="70" t="str">
        <x:v>D. Hafner, J. Pasukonis, J. Ba, and T. Lillicrap, “Mastering diverse control tasks through world models,” Nature, vol. 640, pp. 647–653, 2025.</x:v>
      </x:c>
      <x:c r="E128" s="70" t="str">
        <x:v>DreamerV3 learns policies and value functions through trajectories imagined in a latent dynamics model. Its training design aims to support varied control domains with a common configuration.</x:v>
      </x:c>
      <x:c r="F128" s="81" t="str">
        <x:v>https://arxiv.org/abs/2301.04104</x:v>
      </x:c>
      <x:c r="G128" s="70" t="str">
        <x:v>Paper</x:v>
      </x:c>
      <x:c r="H128" s="80" t="str">
        <x:v>Pending</x:v>
      </x:c>
    </x:row>
    <x:row r="129" ht="72" customHeight="1">
      <x:c r="A129" s="79" t="n">
        <x:v>121</x:v>
      </x:c>
      <x:c r="B129" s="70" t="str">
        <x:v>muzero</x:v>
      </x:c>
      <x:c r="C129" s="79" t="n">
        <x:v>2020</x:v>
      </x:c>
      <x:c r="D129" s="70" t="str">
        <x:v>J. Schrittwieser, I. Antonoglou, T. Hubert, K. Simonyan, L. Sifre, S. Schmitt, A. Guez, E. Lockhart, D. Hassabis, T. Graepel et al., “Mastering Atari, Go, chess and shogi by planning with a learned model,” Nature, vol. 588, pp. 604–609, 2020.</x:v>
      </x:c>
      <x:c r="E129" s="70" t="str">
        <x:v>MuZero learns latent transitions that predict rewards, values, and action priors for tree search. Its cited demonstrations concern games, with planning-relevant prediction that does not require observation reconstruction.</x:v>
      </x:c>
      <x:c r="F129" s="81" t="str">
        <x:v>https://arxiv.org/abs/1911.08265</x:v>
      </x:c>
      <x:c r="G129" s="70" t="str">
        <x:v>Paper</x:v>
      </x:c>
      <x:c r="H129" s="80" t="str">
        <x:v>Pending</x:v>
      </x:c>
    </x:row>
    <x:row r="130" ht="62" customHeight="1">
      <x:c r="A130" s="79" t="n">
        <x:v>122</x:v>
      </x:c>
      <x:c r="B130" s="70" t="str">
        <x:v>tdmpc2</x:v>
      </x:c>
      <x:c r="C130" s="79" t="n">
        <x:v>2024</x:v>
      </x:c>
      <x:c r="D130" s="70" t="str">
        <x:v>N. Hansen, H. Su, and X. Wang, “TD-MPC2: Scalable, robust world models for continuous control,” in Proc. Int. Conf. Learn. Representations (ICLR), 2024, arXiv:2310.16828.</x:v>
      </x:c>
      <x:c r="E130" s="70" t="str">
        <x:v>TD-MPC2 learns task-conditioned latent dynamics and value functions for continuous control. These predictions support model-predictive control across multiple tasks.</x:v>
      </x:c>
      <x:c r="F130" s="81" t="str">
        <x:v>https://arxiv.org/abs/2310.16828</x:v>
      </x:c>
      <x:c r="G130" s="70" t="str">
        <x:v>Paper</x:v>
      </x:c>
      <x:c r="H130" s="80" t="str">
        <x:v>Pending</x:v>
      </x:c>
    </x:row>
    <x:row r="131" ht="62" customHeight="1">
      <x:c r="A131" s="79" t="n">
        <x:v>123</x:v>
      </x:c>
      <x:c r="B131" s="70" t="str">
        <x:v>unipi</x:v>
      </x:c>
      <x:c r="C131" s="79" t="n">
        <x:v>2023</x:v>
      </x:c>
      <x:c r="D131" s="70" t="str">
        <x:v>Y. Du, S. Yang, B. Dai, H. Dai, O. Nachum, J. B. Tenenbaum, D. Schuurmans, and P. Abbeel, “Learning universal policies via text-guided video generation,” in Adv. Neural Inf. Process. Syst. (NeurIPS), 2023.</x:v>
      </x:c>
      <x:c r="E131" s="70" t="str">
        <x:v>UniPi generates a language-conditioned video plan and recovers executable actions through inverse dynamics. The generated plan is a visual action proposal rather than a forward prediction conditioned on supplied candidate robot actions.</x:v>
      </x:c>
      <x:c r="F131" s="81" t="str">
        <x:v>https://arxiv.org/abs/2302.00111</x:v>
      </x:c>
      <x:c r="G131" s="70" t="str">
        <x:v>Paper</x:v>
      </x:c>
      <x:c r="H131" s="80" t="str">
        <x:v>Pending</x:v>
      </x:c>
    </x:row>
    <x:row r="132" ht="62" customHeight="1">
      <x:c r="A132" s="79" t="n">
        <x:v>124</x:v>
      </x:c>
      <x:c r="B132" s="70" t="str">
        <x:v>unisim</x:v>
      </x:c>
      <x:c r="C132" s="79" t="n">
        <x:v>2024</x:v>
      </x:c>
      <x:c r="D132" s="70" t="str">
        <x:v>S. Yang, Y. Du, K. Ghasemipour, J. Tompson, L. Kaelbling, D. Schuurmans, and P. Abbeel, “Learning interactive real-world simulators,” in Proc. Int. Conf. Learn. Representations (ICLR), 2024.</x:v>
      </x:c>
      <x:c r="E132" s="70" t="str">
        <x:v>UniSim learns an interactive video simulator that responds to high-level instructions or low-level controls. It supports policy learning and evaluation through generated environment interactions.</x:v>
      </x:c>
      <x:c r="F132" s="81" t="str">
        <x:v>https://arxiv.org/abs/2310.06114</x:v>
      </x:c>
      <x:c r="G132" s="70" t="str">
        <x:v>Paper</x:v>
      </x:c>
      <x:c r="H132" s="80" t="str">
        <x:v>Pending</x:v>
      </x:c>
    </x:row>
    <x:row r="133" ht="62" customHeight="1">
      <x:c r="A133" s="79" t="n">
        <x:v>125</x:v>
      </x:c>
      <x:c r="B133" s="70" t="str">
        <x:v>avdc</x:v>
      </x:c>
      <x:c r="C133" s="79" t="n">
        <x:v>2024</x:v>
      </x:c>
      <x:c r="D133" s="70" t="str">
        <x:v>P.-C. Ko, J. Mao, Y. Du, S.-H. Sun, and J. B. Tenenbaum, “Learning to act from actionless videos through dense correspondences,” in International Conference on Learning Representations (ICLR), 2024, arXiv:2310.08576.</x:v>
      </x:c>
      <x:c r="E133" s="70" t="str">
        <x:v>AVDC generates task-directed videos and uses dense correspondences between frames to infer control actions. This connects action-free video demonstrations to robot execution.</x:v>
      </x:c>
      <x:c r="F133" s="81" t="str">
        <x:v>https://arxiv.org/abs/2310.08576</x:v>
      </x:c>
      <x:c r="G133" s="70" t="str">
        <x:v>Paper</x:v>
      </x:c>
      <x:c r="H133" s="80" t="str">
        <x:v>Pending</x:v>
      </x:c>
    </x:row>
    <x:row r="134" ht="72" customHeight="1">
      <x:c r="A134" s="79" t="n">
        <x:v>126</x:v>
      </x:c>
      <x:c r="B134" s="70" t="str">
        <x:v>susie</x:v>
      </x:c>
      <x:c r="C134" s="79" t="n">
        <x:v>2024</x:v>
      </x:c>
      <x:c r="D134" s="70" t="str">
        <x:v>K. Black, M. Nakamoto, P. Atreya, H. Walke, C. Finn, A. Kumar, and S. Levine, “Zero-shot robotic manipulation with pretrained image-editing diffusion models,” in International Conference on Learning Representations (ICLR), 2024, arXiv:2310.10639.</x:v>
      </x:c>
      <x:c r="E134" s="70" t="str">
        <x:v>SuSIE adapts an image-editing diffusion model to propose visual subgoals from an observation and language instruction. A goal-conditioned controller executes the proposed subgoals.</x:v>
      </x:c>
      <x:c r="F134" s="81" t="str">
        <x:v>https://arxiv.org/abs/2310.10639</x:v>
      </x:c>
      <x:c r="G134" s="70" t="str">
        <x:v>Paper</x:v>
      </x:c>
      <x:c r="H134" s="80" t="str">
        <x:v>Pending</x:v>
      </x:c>
    </x:row>
    <x:row r="135" ht="72" customHeight="1">
      <x:c r="A135" s="79" t="n">
        <x:v>127</x:v>
      </x:c>
      <x:c r="B135" s="70" t="str">
        <x:v>vlp</x:v>
      </x:c>
      <x:c r="C135" s="79" t="n">
        <x:v>2024</x:v>
      </x:c>
      <x:c r="D135" s="70" t="str">
        <x:v>Y. Du, S. Yang, P. Florence, F. Xia, A. Wahid, B. Ichter, P. Sermanet, T. Yu, P. Abbeel, J. B. Tenenbaum, L. Kaelbling, A. Zeng, and J. Tompson, “Video language planning,” in International Conference on Learning Representations (ICLR), 2024, arXiv:2310.10625.</x:v>
      </x:c>
      <x:c r="E135" s="70" t="str">
        <x:v>Video Language Planning searches over language proposals and generated video continuations using vision-language policies and value functions. A goal-conditioned policy executes the resulting visual plan.</x:v>
      </x:c>
      <x:c r="F135" s="81" t="str">
        <x:v>https://arxiv.org/abs/2310.10625</x:v>
      </x:c>
      <x:c r="G135" s="70" t="str">
        <x:v>Paper</x:v>
      </x:c>
      <x:c r="H135" s="80" t="str">
        <x:v>Pending</x:v>
      </x:c>
    </x:row>
    <x:row r="136" ht="62" customHeight="1">
      <x:c r="A136" s="79" t="n">
        <x:v>128</x:v>
      </x:c>
      <x:c r="B136" s="70" t="str">
        <x:v>ivideogpt</x:v>
      </x:c>
      <x:c r="C136" s="79" t="n">
        <x:v>2024</x:v>
      </x:c>
      <x:c r="D136" s="70" t="str">
        <x:v>J. Wu, S. Yin, N. Feng, X. He, D. Li, J. Hao, and M. Long, “iVideoGPT: Interactive VideoGPTs are scalable world models,” in Advances in Neural Information Processing Systems (NeurIPS), 2024, arXiv:2405.15223.</x:v>
      </x:c>
      <x:c r="E136" s="70" t="str">
        <x:v>iVideoGPT autoregressively models tokenized observations, actions, and rewards. Its learned dynamics support interactive video prediction, visual planning, and model-based reinforcement learning.</x:v>
      </x:c>
      <x:c r="F136" s="81" t="str">
        <x:v>https://arxiv.org/abs/2405.15223</x:v>
      </x:c>
      <x:c r="G136" s="70" t="str">
        <x:v>Paper</x:v>
      </x:c>
      <x:c r="H136" s="80" t="str">
        <x:v>Pending</x:v>
      </x:c>
    </x:row>
    <x:row r="137" ht="72" customHeight="1">
      <x:c r="A137" s="79" t="n">
        <x:v>129</x:v>
      </x:c>
      <x:c r="B137" s="70" t="str">
        <x:v>gr1</x:v>
      </x:c>
      <x:c r="C137" s="79" t="n">
        <x:v>2024</x:v>
      </x:c>
      <x:c r="D137" s="70" t="str">
        <x:v>H. Wu, Y. Jing, C. Cheang, G. Chen, J. Xu, X. Li, M. Liu, H. Li, and T. Kong, “Unleashing large-scale video generative pre-training for visual robot manipulation,” in Proc. Int. Conf. Learn. Representations (ICLR), 2024, arXiv:2312.13139.</x:v>
      </x:c>
      <x:c r="E137" s="70" t="str">
        <x:v>GR-1 predicts future images and robot actions from language, visual history, and robot state after video pretraining. This shared predictive-policy training is distinct from searching over supplied candidate actions during deployment.</x:v>
      </x:c>
      <x:c r="F137" s="81" t="str">
        <x:v>https://arxiv.org/abs/2312.13139</x:v>
      </x:c>
      <x:c r="G137" s="70" t="str">
        <x:v>Paper</x:v>
      </x:c>
      <x:c r="H137" s="80" t="str">
        <x:v>Pending</x:v>
      </x:c>
    </x:row>
    <x:row r="138" ht="72" customHeight="1">
      <x:c r="A138" s="79" t="n">
        <x:v>130</x:v>
      </x:c>
      <x:c r="B138" s="70" t="str">
        <x:v>genie1</x:v>
      </x:c>
      <x:c r="C138" s="79" t="n">
        <x:v>2024</x:v>
      </x:c>
      <x:c r="D138" s="70" t="str">
        <x:v>J. Bruce, M. Dennis, A. Edwards, J. Parker-Holder, Y. Shi, E. Hughes, M. Lai, A. Mavalankar, R. Steigerwald, C. Apps et al., “Genie: Generative interactive environments,” in Proc. Int. Conf. Mach. Learn. (ICML), 2024, arXiv:2402.15391.</x:v>
      </x:c>
      <x:c r="E138" s="70" t="str">
        <x:v>Genie learns latent actions and interactive video dynamics from unlabelled video. Its generated environments respond to controls, providing a precursor for learned interactive simulation.</x:v>
      </x:c>
      <x:c r="F138" s="81" t="str">
        <x:v>https://arxiv.org/abs/2402.15391</x:v>
      </x:c>
      <x:c r="G138" s="70" t="str">
        <x:v>Paper</x:v>
      </x:c>
      <x:c r="H138" s="80" t="str">
        <x:v>Pending</x:v>
      </x:c>
    </x:row>
    <x:row r="139" ht="62" customHeight="1">
      <x:c r="A139" s="79" t="n">
        <x:v>131</x:v>
      </x:c>
      <x:c r="B139" s="70" t="str">
        <x:v>genie3</x:v>
      </x:c>
      <x:c r="C139" s="79" t="n">
        <x:v>2025</x:v>
      </x:c>
      <x:c r="D139" s="70" t="str">
        <x:v>Google DeepMind, “Genie 3: A new frontier for world models,” Google DeepMind announcement, 2025.</x:v>
      </x:c>
      <x:c r="E139" s="70" t="str">
        <x:v>Genie 3 generates interactive visual environments that respond to user controls. The cited research announcement concerns environment generation rather than validated physical robot dynamics.</x:v>
      </x:c>
      <x:c r="F139" s="81" t="str">
        <x:v>https://deepmind.google/blog/genie-3-a-new-frontier-for-world-models/</x:v>
      </x:c>
      <x:c r="G139" s="70" t="str">
        <x:v>Technical release / software</x:v>
      </x:c>
      <x:c r="H139" s="80" t="str">
        <x:v>Pending</x:v>
      </x:c>
    </x:row>
    <x:row r="140" ht="62" customHeight="1">
      <x:c r="A140" s="79" t="n">
        <x:v>132</x:v>
      </x:c>
      <x:c r="B140" s="70" t="str">
        <x:v>genieenvisioner</x:v>
      </x:c>
      <x:c r="C140" s="79" t="n">
        <x:v>2025</x:v>
      </x:c>
      <x:c r="D140" s="70" t="str">
        <x:v>Liao et al., “Genie envisioner: A unified world foundation platform for robotic manipulation,” arXiv preprint arXiv:2508.05635, 2025.</x:v>
      </x:c>
      <x:c r="E140" s="70" t="str">
        <x:v>Genie Envisioner connects instruction-conditioned video modeling, action generation, and learned simulation within one platform. Its GE-Base, GE-Act, and GE-Sim components serve different predictive and control roles.</x:v>
      </x:c>
      <x:c r="F140" s="81" t="str">
        <x:v>https://arxiv.org/abs/2508.05635</x:v>
      </x:c>
      <x:c r="G140" s="70" t="str">
        <x:v>Paper</x:v>
      </x:c>
      <x:c r="H140" s="80" t="str">
        <x:v>Pending</x:v>
      </x:c>
    </x:row>
    <x:row r="141" ht="72" customHeight="1">
      <x:c r="A141" s="79" t="n">
        <x:v>133</x:v>
      </x:c>
      <x:c r="B141" s="70" t="str">
        <x:v>ijepa</x:v>
      </x:c>
      <x:c r="C141" s="79" t="n">
        <x:v>2023</x:v>
      </x:c>
      <x:c r="D141" s="70" t="str">
        <x:v>M. Assran, Q. Duval, I. Misra, P. Bojanowski, P. Vincent, M. Rabbat, Y. LeCun, and N. Ballas, “Self-supervised learning from images with a joint-embedding predictive architecture,” in Proc. IEEE/CVF Conf. Comput. Vis. Pattern Recognit. (CVPR), 2023.</x:v>
      </x:c>
      <x:c r="E141" s="70" t="str">
        <x:v>I-JEPA learns image representations by predicting target-region embeddings from visible context. It is a representation-learning precursor rather than a temporal, action-conditioned robot dynamics model.</x:v>
      </x:c>
      <x:c r="F141" s="81" t="str">
        <x:v>https://arxiv.org/abs/2301.08243</x:v>
      </x:c>
      <x:c r="G141" s="70" t="str">
        <x:v>Paper</x:v>
      </x:c>
      <x:c r="H141" s="80" t="str">
        <x:v>Pending</x:v>
      </x:c>
    </x:row>
    <x:row r="142" ht="62" customHeight="1">
      <x:c r="A142" s="79" t="n">
        <x:v>134</x:v>
      </x:c>
      <x:c r="B142" s="70" t="str">
        <x:v>vjepa</x:v>
      </x:c>
      <x:c r="C142" s="79" t="n">
        <x:v>2024</x:v>
      </x:c>
      <x:c r="D142" s="70" t="str">
        <x:v>A. Bardes, Q. Garrido, J. Ponce, X. Chen, M. Rabbat, Y. LeCun, M. Assran, and N. Ballas, “Revisiting feature prediction for learning visual representations from video,” Trans. Mach. Learn. Res. (TMLR), 2024.</x:v>
      </x:c>
      <x:c r="E142" s="70" t="str">
        <x:v>V-JEPA learns video representations by predicting masked spatiotemporal features. Its action-free pretraining provides predictive representations without directly defining a robot-action-conditioned forward model.</x:v>
      </x:c>
      <x:c r="F142" s="81" t="str">
        <x:v>https://arxiv.org/abs/2404.08471</x:v>
      </x:c>
      <x:c r="G142" s="70" t="str">
        <x:v>Paper</x:v>
      </x:c>
      <x:c r="H142" s="80" t="str">
        <x:v>Pending</x:v>
      </x:c>
    </x:row>
    <x:row r="143" ht="62" customHeight="1">
      <x:c r="A143" s="79" t="n">
        <x:v>135</x:v>
      </x:c>
      <x:c r="B143" s="70" t="str">
        <x:v>dinowm</x:v>
      </x:c>
      <x:c r="C143" s="79" t="n">
        <x:v>2024</x:v>
      </x:c>
      <x:c r="D143" s="70" t="str">
        <x:v>G. Zhou, H. Pan, Y. LeCun, and L. Pinto, “DINO-WM: World models on pre-trained visual features enable zero-shot planning,” arXiv preprint arXiv:2411.04983, 2024.</x:v>
      </x:c>
      <x:c r="E143" s="70" t="str">
        <x:v>DINO-WM learns action-conditioned transitions over pretrained DINO image features. It plans toward visual goals in feature space without reconstructing future images.</x:v>
      </x:c>
      <x:c r="F143" s="81" t="str">
        <x:v>https://arxiv.org/abs/2411.04983</x:v>
      </x:c>
      <x:c r="G143" s="70" t="str">
        <x:v>Paper</x:v>
      </x:c>
      <x:c r="H143" s="80" t="str">
        <x:v>Pending</x:v>
      </x:c>
    </x:row>
    <x:row r="144" ht="62" customHeight="1">
      <x:c r="A144" s="79" t="n">
        <x:v>136</x:v>
      </x:c>
      <x:c r="B144" s="70" t="str">
        <x:v>lawam</x:v>
      </x:c>
      <x:c r="C144" s="79" t="n">
        <x:v>2026</x:v>
      </x:c>
      <x:c r="D144" s="70" t="str">
        <x:v>J. Chen, K. Wang, K. Chen, S. Chen, F. Gao, W. Tang, Z. Li, W. Liu, Z. Yao, B. Li, Y. Xu, and C. Yu, “LaWAM: Latent world action models for efficient dynamics-aware robot policies,” arXiv preprint arXiv:2606.15768, 2026.</x:v>
      </x:c>
      <x:c r="E144" s="70" t="str">
        <x:v>LaWAM predicts latent visual subgoals and conditions robot-action generation on them. It incorporates predictive information into a policy without requiring dense future-image generation.</x:v>
      </x:c>
      <x:c r="F144" s="81" t="str">
        <x:v>https://arxiv.org/abs/2606.15768</x:v>
      </x:c>
      <x:c r="G144" s="70" t="str">
        <x:v>Paper</x:v>
      </x:c>
      <x:c r="H144" s="80" t="str">
        <x:v>Pending</x:v>
      </x:c>
    </x:row>
    <x:row r="145" ht="62" customHeight="1">
      <x:c r="A145" s="79" t="n">
        <x:v>137</x:v>
      </x:c>
      <x:c r="B145" s="70" t="str">
        <x:v>jepavla</x:v>
      </x:c>
      <x:c r="C145" s="79" t="n">
        <x:v>2026</x:v>
      </x:c>
      <x:c r="D145" s="70" t="str">
        <x:v>J. Sun, W. Zhang, Z. Qi, S. Ren, Z. Liu, H. Zhu, G. Sun, X. Jin, and Z. Chen, “VLA-JEPA: Enhancing vision-language-action model with latent world model,” arXiv preprint arXiv:2602.10098, 2026.</x:v>
      </x:c>
      <x:c r="E145" s="70" t="str">
        <x:v>VLA-JEPA pretrains a policy backbone to predict future latent states from current observations. It subsequently adapts an action head, with future frames serving as training targets rather than inputs to the prediction pathway.</x:v>
      </x:c>
      <x:c r="F145" s="81" t="str">
        <x:v>https://arxiv.org/abs/2602.10098</x:v>
      </x:c>
      <x:c r="G145" s="70" t="str">
        <x:v>Paper</x:v>
      </x:c>
      <x:c r="H145" s="80" t="str">
        <x:v>Pending</x:v>
      </x:c>
    </x:row>
    <x:row r="146" ht="62" customHeight="1">
      <x:c r="A146" s="79" t="n">
        <x:v>138</x:v>
      </x:c>
      <x:c r="B146" s="70" t="str">
        <x:v>tesseract</x:v>
      </x:c>
      <x:c r="C146" s="79" t="n">
        <x:v>2025</x:v>
      </x:c>
      <x:c r="D146" s="70" t="str">
        <x:v>H. Zhen, Q. Sun, H. Zhang, J. Li, S. Zhou, Y. Du, and C. Gan, “TesserAct: Learning 4D embodied world models,” arXiv preprint arXiv:2504.20995, 2025.</x:v>
      </x:c>
      <x:c r="E146" s="70" t="str">
        <x:v>TesserAct predicts RGB, depth, and surface-normal video to represent how three-dimensional scenes evolve. Its multimodal predictions also support learning inverse dynamics for embodied tasks.</x:v>
      </x:c>
      <x:c r="F146" s="81" t="str">
        <x:v>https://arxiv.org/abs/2504.20995</x:v>
      </x:c>
      <x:c r="G146" s="70" t="str">
        <x:v>Paper</x:v>
      </x:c>
      <x:c r="H146" s="80" t="str">
        <x:v>Pending</x:v>
      </x:c>
    </x:row>
    <x:row r="147" ht="62" customHeight="1">
      <x:c r="A147" s="79" t="n">
        <x:v>139</x:v>
      </x:c>
      <x:c r="B147" s="70" t="str">
        <x:v>gaussianworld</x:v>
      </x:c>
      <x:c r="C147" s="79" t="n">
        <x:v>2025</x:v>
      </x:c>
      <x:c r="D147" s="70" t="str">
        <x:v>G. Lu, B. Jia, P. Li, Y. Chen, Z. Wang, Y. Tang, and S. Huang, “GWM: Towards scalable gaussian world models for robotic manipulation,” in IEEE/CVF International Conference on Computer Vision (ICCV), 2025, pp. 9263–9274.</x:v>
      </x:c>
      <x:c r="E147" s="70" t="str">
        <x:v>GWM models action-conditioned manipulation dynamics using Gaussian scene representations. The paper studies this representation for predictive pretraining and learned simulation.</x:v>
      </x:c>
      <x:c r="F147" s="81" t="str">
        <x:v>https://arxiv.org/abs/2508.17600</x:v>
      </x:c>
      <x:c r="G147" s="70" t="str">
        <x:v>Paper</x:v>
      </x:c>
      <x:c r="H147" s="80" t="str">
        <x:v>Pending</x:v>
      </x:c>
    </x:row>
    <x:row r="148" ht="62" customHeight="1">
      <x:c r="A148" s="79" t="n">
        <x:v>140</x:v>
      </x:c>
      <x:c r="B148" s="70" t="str">
        <x:v>manigaussian</x:v>
      </x:c>
      <x:c r="C148" s="79" t="n">
        <x:v>2024</x:v>
      </x:c>
      <x:c r="D148" s="70" t="str">
        <x:v>G. Lu, S. Zhang, Z. Wang, C. Liu, J. Lu, and Y. Tang, “ManiGaussian: Dynamic gaussian splatting for multi-task robotic manipulation,” in European Conference on Computer Vision (ECCV), 2024, arXiv:2403.08321.</x:v>
      </x:c>
      <x:c r="E148" s="70" t="str">
        <x:v>ManiGaussian uses dynamic Gaussian representations and future-scene reconstruction as predictive supervision for manipulation. Its language-conditioned policy evaluation is conducted in RLBench simulation.</x:v>
      </x:c>
      <x:c r="F148" s="81" t="str">
        <x:v>https://arxiv.org/abs/2403.08321</x:v>
      </x:c>
      <x:c r="G148" s="70" t="str">
        <x:v>Paper</x:v>
      </x:c>
      <x:c r="H148" s="80" t="str">
        <x:v>Pending</x:v>
      </x:c>
    </x:row>
    <x:row r="149" ht="72" customHeight="1">
      <x:c r="A149" s="79" t="n">
        <x:v>141</x:v>
      </x:c>
      <x:c r="B149" s="70" t="str">
        <x:v>physdreamer</x:v>
      </x:c>
      <x:c r="C149" s="79" t="n">
        <x:v>2024</x:v>
      </x:c>
      <x:c r="D149" s="70" t="str">
        <x:v>T. Zhang, H.-X. Yu, R. Wu, B. Y. Feng, C. Zheng, N. Snavely, J. Wu, and W. T. Freeman, “PhysDreamer: Physics-based interaction with 3D objects via video generation,” in European Conference on Computer Vision (ECCV), 2024, arXiv:2404.13026.</x:v>
      </x:c>
      <x:c r="E149" s="70" t="str">
        <x:v>PhysDreamer distills motion information from video generation into physical material estimates and interactive three-dimensional dynamics. Its object-response demonstrations provide context for physical prediction rather than direct evidence of robot task success.</x:v>
      </x:c>
      <x:c r="F149" s="81" t="str">
        <x:v>https://arxiv.org/abs/2404.13026</x:v>
      </x:c>
      <x:c r="G149" s="70" t="str">
        <x:v>Paper</x:v>
      </x:c>
      <x:c r="H149" s="80" t="str">
        <x:v>Pending</x:v>
      </x:c>
    </x:row>
    <x:row r="150" ht="62" customHeight="1">
      <x:c r="A150" s="79" t="n">
        <x:v>142</x:v>
      </x:c>
      <x:c r="B150" s="70" t="str">
        <x:v>dreamtac</x:v>
      </x:c>
      <x:c r="C150" s="79" t="n">
        <x:v>2026</x:v>
      </x:c>
      <x:c r="D150" s="70" t="str">
        <x:v>S. Wu et al., “Tactile-WAM: Touch-aware world action model with tactile asymmetric attention,” arXiv preprint arXiv:2606.26663, 2026.</x:v>
      </x:c>
      <x:c r="E150" s="70" t="str">
        <x:v>Tactile-WAM jointly models visual, tactile, and action information with tactile asymmetric attention. It directs contact information toward action prediction while limiting interference with video generation.</x:v>
      </x:c>
      <x:c r="F150" s="81" t="str">
        <x:v>https://arxiv.org/abs/2606.26663</x:v>
      </x:c>
      <x:c r="G150" s="70" t="str">
        <x:v>Paper</x:v>
      </x:c>
      <x:c r="H150" s="80" t="str">
        <x:v>Pending</x:v>
      </x:c>
    </x:row>
    <x:row r="151" ht="62" customHeight="1">
      <x:c r="A151" s="79" t="n">
        <x:v>143</x:v>
      </x:c>
      <x:c r="B151" s="70" t="str">
        <x:v>touchworld</x:v>
      </x:c>
      <x:c r="C151" s="79" t="n">
        <x:v>2026</x:v>
      </x:c>
      <x:c r="D151" s="70" t="str">
        <x:v>J. Zhou, F. Hong, Y. Li, Y. Zhao, Y. Cen, Z. Liu, J. Huang, Z. Chen, R. Zhang, W. Zhu et al., “TouchWorld: A predictive and reactive tactile foundation model for dexterous manipulation,” arXiv preprint arXiv:2607.07287, 2026.</x:v>
      </x:c>
      <x:c r="E151" s="70" t="str">
        <x:v>TouchWorld combines predicted tactile subgoals and visuomotor action chunks with a faster tactile and proprioceptive correction policy. This joins predictive and reactive control for contact-rich dexterous manipulation.</x:v>
      </x:c>
      <x:c r="F151" s="81" t="str">
        <x:v>https://arxiv.org/abs/2607.07287</x:v>
      </x:c>
      <x:c r="G151" s="70" t="str">
        <x:v>Paper</x:v>
      </x:c>
      <x:c r="H151" s="80" t="str">
        <x:v>Pending</x:v>
      </x:c>
    </x:row>
    <x:row r="152" ht="72" customHeight="1">
      <x:c r="A152" s="79" t="n">
        <x:v>144</x:v>
      </x:c>
      <x:c r="B152" s="70" t="str">
        <x:v>mimicgen</x:v>
      </x:c>
      <x:c r="C152" s="79" t="n">
        <x:v>2023</x:v>
      </x:c>
      <x:c r="D152" s="70" t="str">
        <x:v>A. Mandlekar, S. Nasiriany, B. Wen, I. Akinola, Y. Narang, L. Fan, Y. Zhu, and D. Fox, “MimicGen: A data generation system for scalable robot learning using human demonstrations,” in Conference on Robot Learning (CoRL), 2023, arXiv:2310.17596.</x:v>
      </x:c>
      <x:c r="E152" s="70" t="str">
        <x:v>MimicGen transforms and recombines human demonstrations to generate additional robot trajectories in conventional simulation. It is a demonstration-expansion pipeline rather than a learned environment dynamics model.</x:v>
      </x:c>
      <x:c r="F152" s="81" t="str">
        <x:v>https://arxiv.org/abs/2310.17596</x:v>
      </x:c>
      <x:c r="G152" s="70" t="str">
        <x:v>Paper</x:v>
      </x:c>
      <x:c r="H152" s="80" t="str">
        <x:v>Pending</x:v>
      </x:c>
    </x:row>
    <x:row r="153" ht="72" customHeight="1">
      <x:c r="A153" s="79" t="n">
        <x:v>145</x:v>
      </x:c>
      <x:c r="B153" s="70" t="str">
        <x:v>dexmimicgen</x:v>
      </x:c>
      <x:c r="C153" s="79" t="n">
        <x:v>2025</x:v>
      </x:c>
      <x:c r="D153" s="70" t="str">
        <x:v>Z. Jiang, Y. Xie, K. Lin, Z. Xu, W. Wan, A. Mandlekar, L. Fan, and Y. Zhu, “DexMimicGen: Automated data generation for bimanual dexterous manipulation via imitation learning,” in IEEE International Conference on Robotics and Automation (ICRA), 2025, arXiv:2410.24185.</x:v>
      </x:c>
      <x:c r="E153" s="70" t="str">
        <x:v>DexMimicGen extends demonstration-based data generation to bimanual dexterous manipulation in simulation. It handles coordination between manipulators when synthesizing trajectories for imitation learning.</x:v>
      </x:c>
      <x:c r="F153" s="81" t="str">
        <x:v>https://arxiv.org/abs/2410.24185</x:v>
      </x:c>
      <x:c r="G153" s="70" t="str">
        <x:v>Paper</x:v>
      </x:c>
      <x:c r="H153" s="80" t="str">
        <x:v>Pending</x:v>
      </x:c>
    </x:row>
    <x:row r="154" ht="62" customHeight="1">
      <x:c r="A154" s="79" t="n">
        <x:v>146</x:v>
      </x:c>
      <x:c r="B154" s="70" t="str">
        <x:v>policyeval</x:v>
      </x:c>
      <x:c r="C154" s="79" t="n">
        <x:v>2025</x:v>
      </x:c>
      <x:c r="D154" s="70" t="str">
        <x:v>Y. Li, Y. Zhu, J. Wen, C. Shen, and Y. Xu, “WorldEval: World model as real-world robot policies evaluator,” arXiv preprint arXiv:2505.19017, 2025.</x:v>
      </x:c>
      <x:c r="E154" s="70" t="str">
        <x:v>WorldEval adapts video generation to action-following simulation using Policy2Vec. It evaluates robot policies through generated rollouts instead of requiring each evaluation to run on hardware.</x:v>
      </x:c>
      <x:c r="F154" s="81" t="str">
        <x:v>https://arxiv.org/abs/2505.19017</x:v>
      </x:c>
      <x:c r="G154" s="70" t="str">
        <x:v>Paper</x:v>
      </x:c>
      <x:c r="H154" s="80" t="str">
        <x:v>Pending</x:v>
      </x:c>
    </x:row>
    <x:row r="155" ht="62" customHeight="1">
      <x:c r="A155" s="79" t="n">
        <x:v>147</x:v>
      </x:c>
      <x:c r="B155" s="70" t="str">
        <x:v>sharma2026worldgymnast</x:v>
      </x:c>
      <x:c r="C155" s="79" t="n">
        <x:v>2026</x:v>
      </x:c>
      <x:c r="D155" s="70" t="str">
        <x:v>A. K. Sharma, Y. Sun, N. Lu, Y. Zhang, J. Liu, and S. Yang, “World-Gymnast: Training robots with reinforcement learning in a world model,” arXiv preprint arXiv:2602.02454, 2026.</x:v>
      </x:c>
      <x:c r="E155" s="70" t="str">
        <x:v>World-Gymnast trains robot policies with reinforcement learning inside a learned environment and tests transfer to hardware. Its physical-task comparisons provide evidence about the complete training-and-simulation package rather than isolating every component.</x:v>
      </x:c>
      <x:c r="F155" s="81" t="str">
        <x:v>https://arxiv.org/abs/2602.02454</x:v>
      </x:c>
      <x:c r="G155" s="70" t="str">
        <x:v>Paper</x:v>
      </x:c>
      <x:c r="H155" s="80" t="str">
        <x:v>Pending</x:v>
      </x:c>
    </x:row>
    <x:row r="156" ht="62" customHeight="1">
      <x:c r="A156" s="79" t="n">
        <x:v>148</x:v>
      </x:c>
      <x:c r="B156" s="70" t="str">
        <x:v>flarewm</x:v>
      </x:c>
      <x:c r="C156" s="79" t="n">
        <x:v>2025</x:v>
      </x:c>
      <x:c r="D156" s="70" t="str">
        <x:v>R. Zheng, J. Wang, S. Reed, J. Bjorck, Y. Fang, F. Hu, J. Jang, K. Kundalia, Z. Lin, L. Magne et al., “FLARE: Robot learning with implicit world modeling,” in Proc. Conf. Robot Learn. (CoRL), 2025, arXiv:2505.15659.</x:v>
      </x:c>
      <x:c r="E156" s="70" t="str">
        <x:v>FLARE aligns policy features with embeddings of future observations to incorporate latent prediction into diffusion-based action learning. It also supports co-training with action-free video and is distinct from the reinforcement-learning method FLaRe.</x:v>
      </x:c>
      <x:c r="F156" s="81" t="str">
        <x:v>https://arxiv.org/abs/2505.15659</x:v>
      </x:c>
      <x:c r="G156" s="70" t="str">
        <x:v>Paper</x:v>
      </x:c>
      <x:c r="H156" s="80" t="str">
        <x:v>Pending</x:v>
      </x:c>
    </x:row>
    <x:row r="157" ht="62" customHeight="1">
      <x:c r="A157" s="79" t="n">
        <x:v>149</x:v>
      </x:c>
      <x:c r="B157" s="70" t="str">
        <x:v>dreamvla</x:v>
      </x:c>
      <x:c r="C157" s="79" t="n">
        <x:v>2025</x:v>
      </x:c>
      <x:c r="D157" s="70" t="str">
        <x:v>Zhang et al., “DreamVLA: A vision-language-action model dreamed with comprehensive world knowledge,” arXiv preprint arXiv:2507.04447, 2025.</x:v>
      </x:c>
      <x:c r="E157" s="70" t="str">
        <x:v>DreamVLA forecasts compact dynamic, spatial, and semantic representations. A diffusion-based action generator conditions its manipulation commands on this predicted world information.</x:v>
      </x:c>
      <x:c r="F157" s="81" t="str">
        <x:v>https://arxiv.org/abs/2507.04447</x:v>
      </x:c>
      <x:c r="G157" s="70" t="str">
        <x:v>Paper</x:v>
      </x:c>
      <x:c r="H157" s="80" t="str">
        <x:v>Pending</x:v>
      </x:c>
    </x:row>
    <x:row r="158" ht="62" customHeight="1">
      <x:c r="A158" s="79" t="n">
        <x:v>150</x:v>
      </x:c>
      <x:c r="B158" s="70" t="str">
        <x:v>structvla</x:v>
      </x:c>
      <x:c r="C158" s="79" t="n">
        <x:v>2026</x:v>
      </x:c>
      <x:c r="D158" s="70" t="str">
        <x:v>M. Jin, M. Liao, M. Han, Z. Li, and X. Chang, “Beyond dense futures: World models as structured planners for robotic manipulation,” arXiv preprint arXiv:2603.12553, 2026.</x:v>
      </x:c>
      <x:c r="E158" s="70" t="str">
        <x:v>StructVLA first trains a generative model to predict sparse visual milestones from instructions and observation history. A second training stage adapts that model to action-token prediction conditioned on instructions and interleaved observation–action history.</x:v>
      </x:c>
      <x:c r="F158" s="81" t="str">
        <x:v>https://arxiv.org/abs/2603.12553</x:v>
      </x:c>
      <x:c r="G158" s="70" t="str">
        <x:v>Paper</x:v>
      </x:c>
      <x:c r="H158" s="80" t="str">
        <x:v>Pending</x:v>
      </x:c>
    </x:row>
    <x:row r="159" ht="62" customHeight="1">
      <x:c r="A159" s="79" t="n">
        <x:v>151</x:v>
      </x:c>
      <x:c r="B159" s="70" t="str">
        <x:v>unifolm</x:v>
      </x:c>
      <x:c r="C159" s="79" t="n">
        <x:v>2025</x:v>
      </x:c>
      <x:c r="D159" s="70" t="str">
        <x:v>Unitree Robotics, “UnifoLM-WMA-0: An open-source world-model-action architecture for humanoid robots,” Unitree open-source release, 2025.</x:v>
      </x:c>
      <x:c r="E159" s="70" t="str">
        <x:v>UnifoLM-WMA-0 is Unitree's released framework connecting predictive video dynamics with policy enhancement and learned simulation. The cited source is an official technical release rather than a separately identified peer-reviewed paper.</x:v>
      </x:c>
      <x:c r="F159" s="81" t="str">
        <x:v>https://github.com/unitreerobotics/unifolm-world-model-action</x:v>
      </x:c>
      <x:c r="G159" s="70" t="str">
        <x:v>Technical release / software</x:v>
      </x:c>
      <x:c r="H159" s="80" t="str">
        <x:v>Pending</x:v>
      </x:c>
    </x:row>
    <x:row r="160" ht="102" customHeight="1">
      <x:c r="A160" s="79" t="n">
        <x:v>152</x:v>
      </x:c>
      <x:c r="B160" s="70" t="str">
        <x:v>dreamdojo</x:v>
      </x:c>
      <x:c r="C160" s="79" t="n">
        <x:v>2026</x:v>
      </x:c>
      <x:c r="D160" s="70" t="str">
        <x:v>S. Gao, W. Liang, K. Zheng, A. N. Malik, S. Ye, S. Yu, W.-C. Tseng, Y. Dong, K. Mo, C.-H. Lin, J. Xiang, Y. Xie, R. Zheng, D. Niu, P. Jannaty, J. Gu, J. Zhang, J. Malik, P. Abbeel, M.-Y. Liu, Y. Zhu, J. Jang, and L. Fan, “DreamDojo: A generalist robot world model from large-scale human videos,” in Proceedings of the 43rd International Conference on Machine Learning, ser. Proceedings of Machine Learning Research, vol. 306, 2026, pp. 33340–33366.</x:v>
      </x:c>
      <x:c r="E160" s="70" t="str">
        <x:v>DreamDojo learns an action-conditioned video world model from human videos using continuous latent actions as proxy controls, then adapts it with robot data. Its generated rollouts support applications including policy evaluation and model-based planning.</x:v>
      </x:c>
      <x:c r="F160" s="81" t="str">
        <x:v>https://arxiv.org/abs/2602.06949</x:v>
      </x:c>
      <x:c r="G160" s="70" t="str">
        <x:v>Paper</x:v>
      </x:c>
      <x:c r="H160" s="80" t="str">
        <x:v>Pending</x:v>
      </x:c>
    </x:row>
    <x:row r="161" ht="62" customHeight="1">
      <x:c r="A161" s="79" t="n">
        <x:v>153</x:v>
      </x:c>
      <x:c r="B161" s="70" t="str">
        <x:v>dreamzero</x:v>
      </x:c>
      <x:c r="C161" s="79" t="n">
        <x:v>2026</x:v>
      </x:c>
      <x:c r="D161" s="70" t="str">
        <x:v>S. Ye, Y. Ge, K. Zheng, S. Gao, S. Yu, G. Kurian, S. Indupuru, Y. L. Tan, C. Zhu, J. Xiang et al., “World action models are zero-shot policies,” arXiv preprint arXiv:2602.15922, 2026. [Online]. Available:</x:v>
      </x:c>
      <x:c r="E161" s="70" t="str">
        <x:v>DreamZero jointly predicts future video and robot actions using a pretrained video-diffusion backbone. It uses this world-action representation for closed-loop control and studies transfer from heterogeneous robot data and video demonstrations.</x:v>
      </x:c>
      <x:c r="F161" s="81" t="str">
        <x:v>https://arxiv.org/abs/2602.15922</x:v>
      </x:c>
      <x:c r="G161" s="70" t="str">
        <x:v>Paper</x:v>
      </x:c>
      <x:c r="H161" s="80" t="str">
        <x:v>Pending</x:v>
      </x:c>
    </x:row>
    <x:row r="162" ht="62" customHeight="1">
      <x:c r="A162" s="79" t="n">
        <x:v>154</x:v>
      </x:c>
      <x:c r="B162" s="70" t="str">
        <x:v>harmowam</x:v>
      </x:c>
      <x:c r="C162" s="79" t="n">
        <x:v>2026</x:v>
      </x:c>
      <x:c r="D162" s="70" t="str">
        <x:v>Q. Feng, J. Yu, J. Liu, Y. Jia, Z. Wu, H. Chen, Z. Qian, S. Gu, P. Jia, S. Ma et al., “HarmoWAM: Harmonizing generalizable and precise manipulation via adaptive world action models,” arXiv preprint arXiv:2605.10942, 2026.</x:v>
      </x:c>
      <x:c r="E162" s="70" t="str">
        <x:v>HarmoWAM combines predictive and reactive action experts through adaptive gating. This architecture aims to balance generalization with precise manipulation control.</x:v>
      </x:c>
      <x:c r="F162" s="81" t="str">
        <x:v>https://arxiv.org/abs/2605.10942</x:v>
      </x:c>
      <x:c r="G162" s="70" t="str">
        <x:v>Paper</x:v>
      </x:c>
      <x:c r="H162" s="80" t="str">
        <x:v>Pending</x:v>
      </x:c>
    </x:row>
    <x:row r="163" ht="72" customHeight="1">
      <x:c r="A163" s="79" t="n">
        <x:v>155</x:v>
      </x:c>
      <x:c r="B163" s="70" t="str">
        <x:v>liu2023libero</x:v>
      </x:c>
      <x:c r="C163" s="79" t="n">
        <x:v>2023</x:v>
      </x:c>
      <x:c r="D163" s="70" t="str">
        <x:v>B. Liu, Y. Zhu, C. Gao, Y. Feng, Q. Liu, Y. Zhu, and P. Stone, “LIBERO: Benchmarking knowledge transfer for lifelong robot learning,” in Adv. Neural Inf. Process. Syst. (NeurIPS) Datasets and Benchmarks Track, 2023, arXiv:2306.03310.</x:v>
      </x:c>
      <x:c r="E163" s="70" t="str">
        <x:v>LIBERO provides simulated manipulation tasks and demonstrations for studying knowledge transfer in lifelong robot learning. Its task suites examine different transfer settings, policy designs, and effects of sequential learning.</x:v>
      </x:c>
      <x:c r="F163" s="81" t="str">
        <x:v>https://arxiv.org/abs/2306.03310</x:v>
      </x:c>
      <x:c r="G163" s="70" t="str">
        <x:v>Paper</x:v>
      </x:c>
      <x:c r="H163" s="80" t="str">
        <x:v>Pending</x:v>
      </x:c>
    </x:row>
    <x:row r="164" ht="72" customHeight="1">
      <x:c r="A164" s="79" t="n">
        <x:v>156</x:v>
      </x:c>
      <x:c r="B164" s="70" t="str">
        <x:v>calvin</x:v>
      </x:c>
      <x:c r="C164" s="79" t="n">
        <x:v>2022</x:v>
      </x:c>
      <x:c r="D164" s="70" t="str">
        <x:v>O. Mees, L. Hermann, E. Rosete-Beas, and W. Burgard, “CALVIN: A benchmark for language-conditioned policy learning for long-horizon robot manipulation tasks,” IEEE Robot. Autom. Lett., vol. 7, no. 3, pp. 7327–7334, 2022, arXiv:2112.03227.</x:v>
      </x:c>
      <x:c r="E164" s="70" t="str">
        <x:v>CALVIN evaluates language-conditioned policies on sequences of manipulation tasks in simulation. It emphasizes long-horizon execution and transfer to unfamiliar instructions, objects, and environments.</x:v>
      </x:c>
      <x:c r="F164" s="81" t="str">
        <x:v>https://arxiv.org/abs/2112.03227</x:v>
      </x:c>
      <x:c r="G164" s="70" t="str">
        <x:v>Paper</x:v>
      </x:c>
      <x:c r="H164" s="80" t="str">
        <x:v>Pending</x:v>
      </x:c>
    </x:row>
    <x:row r="165" ht="62" customHeight="1">
      <x:c r="A165" s="79" t="n">
        <x:v>157</x:v>
      </x:c>
      <x:c r="B165" s="70" t="str">
        <x:v>rlbench</x:v>
      </x:c>
      <x:c r="C165" s="79" t="n">
        <x:v>2020</x:v>
      </x:c>
      <x:c r="D165" s="70" t="str">
        <x:v>S. James, Z. Ma, D. R. Arrojo, and A. J. Davison, “RLBench: The robot learning benchmark &amp; learning environment,” IEEE Robot. Autom. Lett., vol. 5, no. 2, pp. 3019–3026, 2020.</x:v>
      </x:c>
      <x:c r="E165" s="70" t="str">
        <x:v>RLBench provides diverse simulated manipulation tasks, visual and proprioceptive observations, and motion-planned demonstrations. It supports research on imitation, reinforcement, multi-task, and few-shot robot learning.</x:v>
      </x:c>
      <x:c r="F165" s="81" t="str">
        <x:v>https://arxiv.org/abs/1909.12271</x:v>
      </x:c>
      <x:c r="G165" s="70" t="str">
        <x:v>Paper</x:v>
      </x:c>
      <x:c r="H165" s="80" t="str">
        <x:v>Pending</x:v>
      </x:c>
    </x:row>
    <x:row r="166" ht="72" customHeight="1">
      <x:c r="A166" s="79" t="n">
        <x:v>158</x:v>
      </x:c>
      <x:c r="B166" s="70" t="str">
        <x:v>maniskill3</x:v>
      </x:c>
      <x:c r="C166" s="79" t="n">
        <x:v>2024</x:v>
      </x:c>
      <x:c r="D166" s="70" t="str">
        <x:v>S. Tao, F. Xiang, A. Shukla, Y. Qin, X. Hinrichsen, X. Yuan, C. Bao, X. Lin, Y. Liu, T. kai Chan et al., “ManiSkill3: GPU parallelized robotics simulation and rendering for generalizable embodied AI,” arXiv preprint arXiv:2410.00425, 2024.</x:v>
      </x:c>
      <x:c r="E166" s="70" t="str">
        <x:v>ManiSkill3 provides GPU-parallelized robotics simulation and rendering for learning manipulation policies. It includes diverse environments, demonstration data, and training baselines to support scalable robot-learning experiments.</x:v>
      </x:c>
      <x:c r="F166" s="81" t="str">
        <x:v>https://arxiv.org/abs/2410.00425</x:v>
      </x:c>
      <x:c r="G166" s="70" t="str">
        <x:v>Paper</x:v>
      </x:c>
      <x:c r="H166" s="80" t="str">
        <x:v>Pending</x:v>
      </x:c>
    </x:row>
    <x:row r="167" ht="62" customHeight="1">
      <x:c r="A167" s="79" t="n">
        <x:v>159</x:v>
      </x:c>
      <x:c r="B167" s="70" t="str">
        <x:v>robocasa</x:v>
      </x:c>
      <x:c r="C167" s="79" t="n">
        <x:v>2024</x:v>
      </x:c>
      <x:c r="D167" s="70" t="str">
        <x:v>S. Nasiriany, A. Maddukuri, L. Zhang, A. Parikh, A. Lo, A. Joshi, A. Mandlekar, and Y. Zhu, “RoboCasa: Large-scale simulation of everyday tasks for generalist robots,” in Proc. Robot.: Sci. Syst. (RSS), 2024.</x:v>
      </x:c>
      <x:c r="E167" s="70" t="str">
        <x:v>RoboCasa provides diverse simulated everyday environments, with a focus on kitchen manipulation tasks. It combines task definitions, human demonstrations, and automated trajectory generation for training and evaluating generalist robots.</x:v>
      </x:c>
      <x:c r="F167" s="81" t="str">
        <x:v>https://arxiv.org/abs/2406.02523</x:v>
      </x:c>
      <x:c r="G167" s="70" t="str">
        <x:v>Paper</x:v>
      </x:c>
      <x:c r="H167" s="80" t="str">
        <x:v>Pending</x:v>
      </x:c>
    </x:row>
    <x:row r="168" ht="62" customHeight="1">
      <x:c r="A168" s="79" t="n">
        <x:v>160</x:v>
      </x:c>
      <x:c r="B168" s="70" t="str">
        <x:v>metaworld</x:v>
      </x:c>
      <x:c r="C168" s="79" t="n">
        <x:v>2019</x:v>
      </x:c>
      <x:c r="D168" s="70" t="str">
        <x:v>T. Yu, D. Quillen, Z. He, R. Julian, K. Hausman, C. Finn, and S. Levine, “Meta-world: A benchmark and evaluation for multi-task and meta reinforcement learning,” in Proc. Conf. Robot Learn. (CoRL), 2019.</x:v>
      </x:c>
      <x:c r="E168" s="70" t="str">
        <x:v>Meta-World provides a collection of simulated manipulation tasks for multi-task and meta-reinforcement learning. It enables evaluation of shared learning across tasks and adaptation to new task instances.</x:v>
      </x:c>
      <x:c r="F168" s="81" t="str">
        <x:v>https://arxiv.org/abs/1910.10897</x:v>
      </x:c>
      <x:c r="G168" s="70" t="str">
        <x:v>Paper</x:v>
      </x:c>
      <x:c r="H168" s="80" t="str">
        <x:v>Pending</x:v>
      </x:c>
    </x:row>
    <x:row r="169" ht="72" customHeight="1">
      <x:c r="A169" s="79" t="n">
        <x:v>161</x:v>
      </x:c>
      <x:c r="B169" s="70" t="str">
        <x:v>vlabench</x:v>
      </x:c>
      <x:c r="C169" s="79" t="n">
        <x:v>2024</x:v>
      </x:c>
      <x:c r="D169" s="70" t="str">
        <x:v>S. Zhang, Z. Xu, P. Liu, X. Yu, Y. Li, Q. Gao, Z. Fei, Z. Yin, Z. Wu, Y.-G. Jiang, and X. Qiu, “VLABench: A large-scale benchmark for language-conditioned robotics manipulation with long-horizon reasoning tasks,” arXiv preprint arXiv:2412.18194, 2024.</x:v>
      </x:c>
      <x:c r="E169" s="70" t="str">
        <x:v>VLABench evaluates language-conditioned manipulation with randomized tasks, implicit intentions, and multi-step reasoning requirements. It assesses action policies and language-based capabilities while providing data for downstream training.</x:v>
      </x:c>
      <x:c r="F169" s="81" t="str">
        <x:v>https://arxiv.org/abs/2412.18194</x:v>
      </x:c>
      <x:c r="G169" s="70" t="str">
        <x:v>Paper</x:v>
      </x:c>
      <x:c r="H169" s="80" t="str">
        <x:v>Pending</x:v>
      </x:c>
    </x:row>
    <x:row r="170" ht="62" customHeight="1">
      <x:c r="A170" s="79" t="n">
        <x:v>162</x:v>
      </x:c>
      <x:c r="B170" s="70" t="str">
        <x:v>colosseum</x:v>
      </x:c>
      <x:c r="C170" s="79" t="n">
        <x:v>2024</x:v>
      </x:c>
      <x:c r="D170" s="70" t="str">
        <x:v>W. Pumacay, I. Singh, J. Duan, R. Krishna, J. Thomason, and D. Fox, “THE COLOSSEUM: A benchmark for evaluating generalization for robotic manipulation,” in Robotics: Science and Systems (RSS), 2024, arXiv:2402.08191.</x:v>
      </x:c>
      <x:c r="E170" s="70" t="str">
        <x:v>THE COLOSSEUM evaluates manipulation-policy generalization through systematic changes to task and environment conditions. It tests robustness beyond performance in an unchanged benchmark setting.</x:v>
      </x:c>
      <x:c r="F170" s="81" t="str">
        <x:v>https://arxiv.org/abs/2402.08191</x:v>
      </x:c>
      <x:c r="G170" s="70" t="str">
        <x:v>Paper</x:v>
      </x:c>
      <x:c r="H170" s="80" t="str">
        <x:v>Pending</x:v>
      </x:c>
    </x:row>
    <x:row r="171" ht="62" customHeight="1">
      <x:c r="A171" s="79" t="n">
        <x:v>163</x:v>
      </x:c>
      <x:c r="B171" s="70" t="str">
        <x:v>furniturebench</x:v>
      </x:c>
      <x:c r="C171" s="79" t="n">
        <x:v>2023</x:v>
      </x:c>
      <x:c r="D171" s="70" t="str">
        <x:v>M. Heo, Y. Lee, D. Lee, and J. J. Lim, “FurnitureBench: Reproducible real-world benchmark for long-horizon complex manipulation,” in Robotics: Science and Systems (RSS), 2023, arXiv:2305.12821.</x:v>
      </x:c>
      <x:c r="E171" s="70" t="str">
        <x:v>FurnitureBench provides a reproducible physical benchmark for long-horizon furniture assembly. It includes demonstration data, standardized setup resources, and a corresponding simulator for studying manipulation learning.</x:v>
      </x:c>
      <x:c r="F171" s="81" t="str">
        <x:v>https://arxiv.org/abs/2305.12821</x:v>
      </x:c>
      <x:c r="G171" s="70" t="str">
        <x:v>Paper</x:v>
      </x:c>
      <x:c r="H171" s="80" t="str">
        <x:v>Pending</x:v>
      </x:c>
    </x:row>
    <x:row r="172" ht="72" customHeight="1">
      <x:c r="A172" s="79" t="n">
        <x:v>164</x:v>
      </x:c>
      <x:c r="B172" s="70" t="str">
        <x:v>behavior1k</x:v>
      </x:c>
      <x:c r="C172" s="79" t="n">
        <x:v>2024</x:v>
      </x:c>
      <x:c r="D172" s="70" t="str">
        <x:v>C. Li, R. Zhang, J. Wong, C. Gokmen, S. Srivastava, R. Martín-Martín, C. Wang, G. Levine et al., “BEHAVIOR-1K: A human-centered, embodied AI benchmark with 1,000 everyday activities and realistic simulation,” arXiv preprint arXiv:2403.09227, 2024.</x:v>
      </x:c>
      <x:c r="E172" s="70" t="str">
        <x:v>BEHAVIOR-1K defines everyday household activities and supports them through the OmniGibson simulation environment. Its evaluation emphasizes long-horizon behavior and complex interaction with diverse objects and physical materials.</x:v>
      </x:c>
      <x:c r="F172" s="81" t="str">
        <x:v>https://arxiv.org/abs/2403.09227</x:v>
      </x:c>
      <x:c r="G172" s="70" t="str">
        <x:v>Paper</x:v>
      </x:c>
      <x:c r="H172" s="80" t="str">
        <x:v>Pending</x:v>
      </x:c>
    </x:row>
    <x:row r="173" ht="72" customHeight="1">
      <x:c r="A173" s="79" t="n">
        <x:v>165</x:v>
      </x:c>
      <x:c r="B173" s="70" t="str">
        <x:v>roboarena</x:v>
      </x:c>
      <x:c r="C173" s="79" t="n">
        <x:v>2025</x:v>
      </x:c>
      <x:c r="D173" s="70" t="str">
        <x:v>P. Atreya, K. Pertsch, T. Lee, M. J. Kim, A. Jain, A. Kuramshin, C. Eppner, C. Neary, E. Hu, F. Ramos et al., “RoboArena: Distributed real-world evaluation of generalist robot policies,” in Conference on Robot Learning (CoRL), PMLR vol. 305, 2025, arXiv:2506.18123.</x:v>
      </x:c>
      <x:c r="E173" s="70" t="str">
        <x:v>RoboArena distributes real-robot evaluation across multiple evaluators, who compare pairs of policies under shared local conditions. Aggregated preference feedback supports policy comparison across varied tasks and environments.</x:v>
      </x:c>
      <x:c r="F173" s="81" t="str">
        <x:v>https://arxiv.org/abs/2506.18123</x:v>
      </x:c>
      <x:c r="G173" s="70" t="str">
        <x:v>Paper</x:v>
      </x:c>
      <x:c r="H173" s="80" t="str">
        <x:v>Pending</x:v>
      </x:c>
    </x:row>
    <x:row r="174" ht="62" customHeight="1">
      <x:c r="A174" s="79" t="n">
        <x:v>166</x:v>
      </x:c>
      <x:c r="B174" s="70" t="str">
        <x:v>bridgedata</x:v>
      </x:c>
      <x:c r="C174" s="79" t="n">
        <x:v>2023</x:v>
      </x:c>
      <x:c r="D174" s="70" t="str">
        <x:v>H. Walke, K. Black, A. Lee, M. J. Kim, M. Du, C. Zheng, T. Zhao, P. Hansen-Estruch, Q. Vuong, A. He et al., “BridgeData V2: A dataset for robot learning at scale,” in Proc. Conf. Robot Learn. (CoRL), 2023.</x:v>
      </x:c>
      <x:c r="E174" s="70" t="str">
        <x:v>BridgeData V2 provides diverse real-robot manipulation trajectories for scalable robot learning. It supports studying how training across tasks and environments affects policy generalization.</x:v>
      </x:c>
      <x:c r="F174" s="81" t="str">
        <x:v>https://arxiv.org/abs/2308.12952</x:v>
      </x:c>
      <x:c r="G174" s="70" t="str">
        <x:v>Paper</x:v>
      </x:c>
      <x:c r="H174" s="80" t="str">
        <x:v>Pending</x:v>
      </x:c>
    </x:row>
    <x:row r="175" ht="62" customHeight="1">
      <x:c r="A175" s="79" t="n">
        <x:v>167</x:v>
      </x:c>
      <x:c r="B175" s="70" t="str">
        <x:v>agibotworld</x:v>
      </x:c>
      <x:c r="C175" s="79" t="n">
        <x:v>2025</x:v>
      </x:c>
      <x:c r="D175" s="70" t="str">
        <x:v>AgiBot-World Contributors, “AgiBot World Colosseo: A large-scale manipulation platform for scalable and intelligent embodied systems,” arXiv preprint arXiv:2503.06669, 2025.</x:v>
      </x:c>
      <x:c r="E175" s="70" t="str">
        <x:v>AgiBot World combines a standardized robot-data collection platform with diverse manipulation trajectories. Its accompanying policy experiments study how data scale and coverage affect generalist robot learning.</x:v>
      </x:c>
      <x:c r="F175" s="81" t="str">
        <x:v>https://arxiv.org/abs/2503.06669</x:v>
      </x:c>
      <x:c r="G175" s="70" t="str">
        <x:v>Paper</x:v>
      </x:c>
      <x:c r="H175" s="80" t="str">
        <x:v>Pending</x:v>
      </x:c>
    </x:row>
    <x:row r="176" ht="72" customHeight="1">
      <x:c r="A176" s="79" t="n">
        <x:v>168</x:v>
      </x:c>
      <x:c r="B176" s="70" t="str">
        <x:v>rh20t</x:v>
      </x:c>
      <x:c r="C176" s="79" t="n">
        <x:v>2024</x:v>
      </x:c>
      <x:c r="D176" s="70" t="str">
        <x:v>H.-S. Fang, H. Fang, Z. Tang, J. Liu, C. Wang, J. Wang, H. Zhu, and C. Lu, “RH20T: A comprehensive robotic dataset for learning diverse skills in one-shot,” in IEEE International Conference on Robotics and Automation (ICRA), 2024, arXiv:2307.00595.</x:v>
      </x:c>
      <x:c r="E176" s="70" t="str">
        <x:v>RH20T records contact-rich real-world manipulation with visual, force, audio, and action information. Corresponding human demonstration videos and language descriptions support research on learning varied skills from demonstrations.</x:v>
      </x:c>
      <x:c r="F176" s="81" t="str">
        <x:v>https://arxiv.org/abs/2307.00595</x:v>
      </x:c>
      <x:c r="G176" s="70" t="str">
        <x:v>Paper</x:v>
      </x:c>
      <x:c r="H176" s="80" t="str">
        <x:v>Pending</x:v>
      </x:c>
    </x:row>
    <x:row r="177" ht="62" customHeight="1">
      <x:c r="A177" s="79" t="n">
        <x:v>169</x:v>
      </x:c>
      <x:c r="B177" s="70" t="str">
        <x:v>robomind</x:v>
      </x:c>
      <x:c r="C177" s="79" t="n">
        <x:v>2024</x:v>
      </x:c>
      <x:c r="D177" s="70" t="str">
        <x:v>K. Wu, C. Hou, J. Liu, Z. Che, X. Ju, Z. Yang, M. Li, Y. Zhao et al., “RoboMIND: Benchmark on multi-embodiment intelligence normative data for robot manipulation,” arXiv preprint arXiv:2412.13877, 2024.</x:v>
      </x:c>
      <x:c r="E177" s="70" t="str">
        <x:v>RoboMIND collects teleoperated manipulation demonstrations across robot embodiments under a standardized protocol. It includes multimodal observations, task descriptions, failure demonstrations, and digital-twin support for training and evaluation.</x:v>
      </x:c>
      <x:c r="F177" s="81" t="str">
        <x:v>https://arxiv.org/abs/2412.13877</x:v>
      </x:c>
      <x:c r="G177" s="70" t="str">
        <x:v>Paper</x:v>
      </x:c>
      <x:c r="H177" s="80" t="str">
        <x:v>Pending</x:v>
      </x:c>
    </x:row>
    <x:row r="178" ht="87" customHeight="1">
      <x:c r="A178" s="79" t="n">
        <x:v>170</x:v>
      </x:c>
      <x:c r="B178" s="70" t="str">
        <x:v>worldarena</x:v>
      </x:c>
      <x:c r="C178" s="79" t="n">
        <x:v>2026</x:v>
      </x:c>
      <x:c r="D178" s="70" t="str">
        <x:v>Y. Shang, Z. Li, Y. Ma, W. Su, X. Jin, Z. Wang, L. Jin, X. Zhang, Y. Tang, H. Su, C. Gao, W. Wu, X. Liu, D. Shah, Z. Zhang, Z. Chen, J. Zhu, Y. Tian, T.-S. Chua, W. Zhu, and Y. Li, “WorldArena: A unified benchmark for evaluating perception and functional utility of embodied world models,” arXiv preprint arXiv:2602.08971, 2026.</x:v>
      </x:c>
      <x:c r="E178" s="70" t="str">
        <x:v>WorldArena evaluates both perceptual quality and functional uses of embodied world models. Its tests cover data generation, policy evaluation, and action planning, exposing differences between visual fidelity and task usefulness.</x:v>
      </x:c>
      <x:c r="F178" s="81" t="str">
        <x:v>https://arxiv.org/abs/2602.08971</x:v>
      </x:c>
      <x:c r="G178" s="70" t="str">
        <x:v>Paper</x:v>
      </x:c>
      <x:c r="H178" s="80" t="str">
        <x:v>Pending</x:v>
      </x:c>
    </x:row>
    <x:row r="179" ht="87" customHeight="1">
      <x:c r="A179" s="79" t="n">
        <x:v>171</x:v>
      </x:c>
      <x:c r="B179" s="70" t="str">
        <x:v>shang2026worldarena2</x:v>
      </x:c>
      <x:c r="C179" s="79" t="n">
        <x:v>2026</x:v>
      </x:c>
      <x:c r="D179" s="70" t="str">
        <x:v>Y. Shang, Y. Tang, Y. Ma, Z. Li, L. Jin, W. Su, X. Jin, Z. Wang, Z. Wang, X. Zhang, H. Su, W. He, W. Wu, H. Duan, G. Wetzstein, X. Liu, D. Shah, Z. Zhang, Z. Chen, J. Zhu, Y. Tian, T.-S. Chua, W. Zhu, C. Gao, and Y. Li, “WorldArena 2.0: Extending embodied world model benchmarking on modality, functionality and platform,” arXiv preprint arXiv:2605.17912, 2026.</x:v>
      </x:c>
      <x:c r="E179" s="70" t="str">
        <x:v>WorldArena 2.0 extends world-model evaluation to visuotactile observations, interactive reinforcement-learning environments, and multiple robotic platforms. It assesses prediction and interactive utility across simulated and real-world settings.</x:v>
      </x:c>
      <x:c r="F179" s="81" t="str">
        <x:v>https://arxiv.org/abs/2605.17912</x:v>
      </x:c>
      <x:c r="G179" s="70" t="str">
        <x:v>Paper</x:v>
      </x:c>
      <x:c r="H179" s="80" t="str">
        <x:v>Pending</x:v>
      </x:c>
    </x:row>
    <x:row r="180" ht="72" customHeight="1">
      <x:c r="A180" s="79" t="n">
        <x:v>172</x:v>
      </x:c>
      <x:c r="B180" s="70" t="str">
        <x:v>maniparena</x:v>
      </x:c>
      <x:c r="C180" s="79" t="n">
        <x:v>2026</x:v>
      </x:c>
      <x:c r="D180" s="70" t="str">
        <x:v>Y. Sun, M. Cao, P. Yang, R. Xu, Y. Yan, R. Xu, L. Ma, R. Gan, A. Zhai, Q. Chen, Z. Xu, H. Wang, J. Yu, L. Liang, Q. Wang, I. Laptev, I. D. Reid, and X. Liang, “ManipArena: Comprehensive real-world evaluation of reasoning-oriented generalist robot manipulation,” arXiv preprint arXiv:2603.28545, 2026.</x:v>
      </x:c>
      <x:c r="E180" s="70" t="str">
        <x:v>ManipArena provides standardized physical manipulation evaluation with structured task variation and paired real-to-simulation environments. It compares generalist policy configurations while tracking generalization and subtask-level performance.</x:v>
      </x:c>
      <x:c r="F180" s="81" t="str">
        <x:v>https://arxiv.org/abs/2603.28545</x:v>
      </x:c>
      <x:c r="G180" s="70" t="str">
        <x:v>Paper</x:v>
      </x:c>
      <x:c r="H180" s="80" t="str">
        <x:v>Pending</x:v>
      </x:c>
    </x:row>
    <x:row r="181" ht="62" customHeight="1">
      <x:c r="A181" s="79" t="n">
        <x:v>173</x:v>
      </x:c>
      <x:c r="B181" s="70" t="str">
        <x:v>memoryvla</x:v>
      </x:c>
      <x:c r="C181" s="79" t="n">
        <x:v>2025</x:v>
      </x:c>
      <x:c r="D181" s="70" t="str">
        <x:v>Shi et al., “MemoryVLA: Perceptual-cognitive memory in vision-language-action models for robotic manipulation,” arXiv preprint arXiv:2508.19236, 2025.</x:v>
      </x:c>
      <x:c r="E181" s="70" t="str">
        <x:v>MemoryVLA combines perceptual and semantic memory retrieval with a memory-conditioned diffusion action expert. It supplies temporal context for manipulation decisions that cannot be resolved reliably from the current observation alone.</x:v>
      </x:c>
      <x:c r="F181" s="81" t="str">
        <x:v>https://arxiv.org/abs/2508.19236</x:v>
      </x:c>
      <x:c r="G181" s="70" t="str">
        <x:v>Paper</x:v>
      </x:c>
      <x:c r="H181" s="80" t="str">
        <x:v>Pending</x:v>
      </x:c>
    </x:row>
    <x:row r="182" ht="62" customHeight="1">
      <x:c r="A182" s="79" t="n">
        <x:v>174</x:v>
      </x:c>
      <x:c r="B182" s="70" t="str">
        <x:v>forcevla</x:v>
      </x:c>
      <x:c r="C182" s="79" t="n">
        <x:v>2025</x:v>
      </x:c>
      <x:c r="D182" s="70" t="str">
        <x:v>Yu et al., “ForceVLA: Enhancing VLA models with a force-aware MoE for contact-rich manipulation,” arXiv preprint arXiv:2505.22159, 2025.</x:v>
      </x:c>
      <x:c r="E182" s="70" t="str">
        <x:v>ForceVLA integrates force-torque feedback with vision-language features through a force-aware mixture-of-experts module. It targets contact-rich manipulation where visual information alone may be insufficient.</x:v>
      </x:c>
      <x:c r="F182" s="81" t="str">
        <x:v>https://arxiv.org/abs/2505.22159</x:v>
      </x:c>
      <x:c r="G182" s="70" t="str">
        <x:v>Paper</x:v>
      </x:c>
      <x:c r="H182" s="80" t="str">
        <x:v>Pending</x:v>
      </x:c>
    </x:row>
    <x:row r="183" ht="62" customHeight="1">
      <x:c r="A183" s="79" t="n">
        <x:v>175</x:v>
      </x:c>
      <x:c r="B183" s="70" t="str">
        <x:v>tactilevla</x:v>
      </x:c>
      <x:c r="C183" s="79" t="n">
        <x:v>2025</x:v>
      </x:c>
      <x:c r="D183" s="70" t="str">
        <x:v>Huang et al., “Tactile-VLA: Unlocking vision-language-action model's physical knowledge for tactile generalization,” arXiv preprint arXiv:2507.09160, 2025.</x:v>
      </x:c>
      <x:c r="E183" s="70" t="str">
        <x:v>Tactile-VLA combines tactile feedback and multimodal reasoning with a hybrid position-force controller. It connects contact sensing to robot action selection for physical interaction.</x:v>
      </x:c>
      <x:c r="F183" s="81" t="str">
        <x:v>https://arxiv.org/abs/2507.09160</x:v>
      </x:c>
      <x:c r="G183" s="70" t="str">
        <x:v>Paper</x:v>
      </x:c>
      <x:c r="H183" s="80" t="str">
        <x:v>Pending</x:v>
      </x:c>
    </x:row>
    <x:row r="184" ht="62" customHeight="1">
      <x:c r="A184" s="79" t="n">
        <x:v>176</x:v>
      </x:c>
      <x:c r="B184" s="70" t="str">
        <x:v>modelcollapse</x:v>
      </x:c>
      <x:c r="C184" s="79" t="n">
        <x:v>2024</x:v>
      </x:c>
      <x:c r="D184" s="70" t="str">
        <x:v>I. Shumailov, Z. Shumaylov, Y. Zhao, N. Papernot, R. Anderson, and Y. Gal, “AI models collapse when trained on recursively generated data,” Nature, vol. 631, pp. 755–759, 2024.</x:v>
      </x:c>
      <x:c r="E184" s="70" t="str">
        <x:v>This study examines degradation when generative models are repeatedly trained on outputs from previous model generations. Its analysis motivates care in the recursive use of synthetic training data, including preservation of the original data distribution.</x:v>
      </x:c>
      <x:c r="F184" s="81" t="str">
        <x:v>https://www.nature.com/articles/s41586-024-07566-y</x:v>
      </x:c>
      <x:c r="G184" s="70" t="str">
        <x:v>Paper</x:v>
      </x:c>
      <x:c r="H184" s="80" t="str">
        <x:v>Pending</x:v>
      </x:c>
    </x:row>
    <x:row r="185" ht="62" customHeight="1">
      <x:c r="A185" s="79" t="n">
        <x:v>177</x:v>
      </x:c>
      <x:c r="B185" s="70" t="str">
        <x:v>vlaharness</x:v>
      </x:c>
      <x:c r="C185" s="79" t="n">
        <x:v>2026</x:v>
      </x:c>
      <x:c r="D185" s="70" t="str">
        <x:v>Allen Institute for AI, “VLA evaluation harness,” Open-source software, v0.4.0, 2026.</x:v>
      </x:c>
      <x:c r="E185" s="70" t="str">
        <x:v>The VLA Evaluation Harness provides a common framework for running robot-policy evaluations across simulation benchmarks. Its versioned implementation separates model servers from benchmark clients and records reproducible evaluation configurations.</x:v>
      </x:c>
      <x:c r="F185" s="81" t="str">
        <x:v>https://github.com/allenai/vla-evaluation-harness/tree/v0.4.0</x:v>
      </x:c>
      <x:c r="G185" s="70" t="str">
        <x:v>Technical release / software</x:v>
      </x:c>
      <x:c r="H185" s="80" t="str">
        <x:v>Pending</x:v>
      </x:c>
    </x:row>
    <x:row r="186" ht="87" customHeight="1">
      <x:c r="A186" s="79" t="n">
        <x:v>178</x:v>
      </x:c>
      <x:c r="B186" s="70" t="str">
        <x:v>cadene2026lerobot</x:v>
      </x:c>
      <x:c r="C186" s="79" t="n">
        <x:v>2026</x:v>
      </x:c>
      <x:c r="D186" s="70" t="str">
        <x:v>R. Cadene, S. Aliberts, F. Capuano, M. Aractingi, A. Zouitine, P. Kooijmans, J. Choghari, M. Russi, C. Pascal, S. Palma, M. Shukor, J. Moss, A. Soare, D. Aubakirova, Q. Lhoest, Q. Gallouédec, and T. Wolf, “LeRobot: An open-source library for end-to-end robot learning,” arXiv preprint arXiv:2602.22818, 2026.</x:v>
      </x:c>
      <x:c r="E186" s="70" t="str">
        <x:v>LeRobot integrates hardware communication, data collection and storage, policy training, and inference within an open robot-learning library. It supports accessible real-world hardware and extensible implementations of learning-based control methods.</x:v>
      </x:c>
      <x:c r="F186" s="81" t="str">
        <x:v>https://arxiv.org/abs/2602.22818</x:v>
      </x:c>
      <x:c r="G186" s="70" t="str">
        <x:v>Paper</x:v>
      </x:c>
      <x:c r="H186" s="80" t="str">
        <x:v>Pending</x:v>
      </x:c>
    </x:row>
    <x:row r="187" ht="72" customHeight="1">
      <x:c r="A187" s="79" t="n">
        <x:v>179</x:v>
      </x:c>
      <x:c r="B187" s="70" t="str">
        <x:v>ego4d</x:v>
      </x:c>
      <x:c r="C187" s="79" t="n">
        <x:v>2022</x:v>
      </x:c>
      <x:c r="D187" s="70" t="str">
        <x:v>K. Grauman, A. Westbury, E. Byrne, Z. Chavis, A. Furnari, R. Girdhar, J. Hamburger et al., “Ego4D: Around the world in 3,000 hours of egocentric video,” in IEEE/CVF Conference on Computer Vision and Pattern Recognition (CVPR), 2022.</x:v>
      </x:c>
      <x:c r="E187" s="70" t="str">
        <x:v>Ego4D collects diverse first-person human video and defines benchmarks for egocentric perception. It provides visual experience relevant to representation learning, distinct from demonstrations labelled with robot-control actions.</x:v>
      </x:c>
      <x:c r="F187" s="81" t="str">
        <x:v>https://arxiv.org/abs/2110.07058</x:v>
      </x:c>
      <x:c r="G187" s="70" t="str">
        <x:v>Paper</x:v>
      </x:c>
      <x:c r="H187" s="80" t="str">
        <x:v>Pending</x:v>
      </x:c>
    </x:row>
  </x:sheetData>
  <x:dataValidations count="1">
    <x:dataValidation type="list" sqref="H9:H187">
      <x:formula1>"Pending,Include,Background,Exclude,Duplicate"</x:formula1>
    </x:dataValidation>
  </x:dataValidations>
  <x:hyperlinks>
    <x:hyperlink ref="F9" r:id="currentSource9"/>
    <x:hyperlink ref="F10" r:id="currentSource10"/>
    <x:hyperlink ref="F11" r:id="currentSource11"/>
    <x:hyperlink ref="F12" r:id="currentSource12"/>
    <x:hyperlink ref="F13" r:id="currentSource13"/>
    <x:hyperlink ref="F14" r:id="currentSource14"/>
    <x:hyperlink ref="F15" r:id="currentSource15"/>
    <x:hyperlink ref="F16" r:id="currentSource16"/>
    <x:hyperlink ref="F17" r:id="currentSource17"/>
    <x:hyperlink ref="F18" r:id="currentSource18"/>
    <x:hyperlink ref="F19" r:id="currentSource19"/>
    <x:hyperlink ref="F20" r:id="currentSource20"/>
    <x:hyperlink ref="F21" r:id="currentSource21"/>
    <x:hyperlink ref="F22" r:id="currentSource22"/>
    <x:hyperlink ref="F23" r:id="currentSource23"/>
    <x:hyperlink ref="F24" r:id="currentSource24"/>
    <x:hyperlink ref="F25" r:id="currentSource25"/>
    <x:hyperlink ref="F26" r:id="currentSource26"/>
    <x:hyperlink ref="F27" r:id="currentSource27"/>
    <x:hyperlink ref="F28" r:id="currentSource28"/>
    <x:hyperlink ref="F29" r:id="currentSource29"/>
    <x:hyperlink ref="F30" r:id="currentSource30"/>
    <x:hyperlink ref="F31" r:id="currentSource31"/>
    <x:hyperlink ref="F32" r:id="currentSource32"/>
    <x:hyperlink ref="F33" r:id="currentSource33"/>
    <x:hyperlink ref="F34" r:id="currentSource34"/>
    <x:hyperlink ref="F35" r:id="currentSource35"/>
    <x:hyperlink ref="F36" r:id="currentSource36"/>
    <x:hyperlink ref="F37" r:id="currentSource37"/>
    <x:hyperlink ref="F38" r:id="currentSource38"/>
    <x:hyperlink ref="F39" r:id="currentSource39"/>
    <x:hyperlink ref="F40" r:id="currentSource40"/>
    <x:hyperlink ref="F41" r:id="currentSource41"/>
    <x:hyperlink ref="F42" r:id="currentSource42"/>
    <x:hyperlink ref="F43" r:id="currentSource43"/>
    <x:hyperlink ref="F44" r:id="currentSource44"/>
    <x:hyperlink ref="F45" r:id="currentSource45"/>
    <x:hyperlink ref="F46" r:id="currentSource46"/>
    <x:hyperlink ref="F47" r:id="currentSource47"/>
    <x:hyperlink ref="F48" r:id="currentSource48"/>
    <x:hyperlink ref="F49" r:id="currentSource49"/>
    <x:hyperlink ref="F50" r:id="currentSource50"/>
    <x:hyperlink ref="F51" r:id="currentSource51"/>
    <x:hyperlink ref="F52" r:id="currentSource52"/>
    <x:hyperlink ref="F53" r:id="currentSource53"/>
    <x:hyperlink ref="F54" r:id="currentSource54"/>
    <x:hyperlink ref="F55" r:id="currentSource55"/>
    <x:hyperlink ref="F56" r:id="currentSource56"/>
    <x:hyperlink ref="F57" r:id="currentSource57"/>
    <x:hyperlink ref="F58" r:id="currentSource58"/>
    <x:hyperlink ref="F59" r:id="currentSource59"/>
    <x:hyperlink ref="F60" r:id="currentSource60"/>
    <x:hyperlink ref="F61" r:id="currentSource61"/>
    <x:hyperlink ref="F62" r:id="currentSource62"/>
    <x:hyperlink ref="F63" r:id="currentSource63"/>
    <x:hyperlink ref="F64" r:id="currentSource64"/>
    <x:hyperlink ref="F65" r:id="currentSource65"/>
    <x:hyperlink ref="F66" r:id="currentSource66"/>
    <x:hyperlink ref="F67" r:id="currentSource67"/>
    <x:hyperlink ref="F68" r:id="currentSource68"/>
    <x:hyperlink ref="F69" r:id="currentSource69"/>
    <x:hyperlink ref="F70" r:id="currentSource70"/>
    <x:hyperlink ref="F71" r:id="currentSource71"/>
    <x:hyperlink ref="F72" r:id="currentSource72"/>
    <x:hyperlink ref="F73" r:id="currentSource73"/>
    <x:hyperlink ref="F74" r:id="currentSource74"/>
    <x:hyperlink ref="F75" r:id="currentSource75"/>
    <x:hyperlink ref="F76" r:id="currentSource76"/>
    <x:hyperlink ref="F77" r:id="currentSource77"/>
    <x:hyperlink ref="F78" r:id="currentSource78"/>
    <x:hyperlink ref="F79" r:id="currentSource79"/>
    <x:hyperlink ref="F80" r:id="currentSource80"/>
    <x:hyperlink ref="F81" r:id="currentSource81"/>
    <x:hyperlink ref="F82" r:id="currentSource82"/>
    <x:hyperlink ref="F83" r:id="currentSource83"/>
    <x:hyperlink ref="F84" r:id="currentSource84"/>
    <x:hyperlink ref="F85" r:id="currentSource85"/>
    <x:hyperlink ref="F86" r:id="currentSource86"/>
    <x:hyperlink ref="F87" r:id="currentSource87"/>
    <x:hyperlink ref="F88" r:id="currentSource88"/>
    <x:hyperlink ref="F89" r:id="currentSource89"/>
    <x:hyperlink ref="F90" r:id="currentSource90"/>
    <x:hyperlink ref="F91" r:id="currentSource91"/>
    <x:hyperlink ref="F92" r:id="currentSource92"/>
    <x:hyperlink ref="F93" r:id="currentSource93"/>
    <x:hyperlink ref="F94" r:id="currentSource94"/>
    <x:hyperlink ref="F95" r:id="currentSource95"/>
    <x:hyperlink ref="F96" r:id="currentSource96"/>
    <x:hyperlink ref="F97" r:id="currentSource97"/>
    <x:hyperlink ref="F98" r:id="currentSource98"/>
    <x:hyperlink ref="F99" r:id="currentSource99"/>
    <x:hyperlink ref="F100" r:id="currentSource100"/>
    <x:hyperlink ref="F101" r:id="currentSource101"/>
    <x:hyperlink ref="F102" r:id="currentSource102"/>
    <x:hyperlink ref="F103" r:id="currentSource103"/>
    <x:hyperlink ref="F104" r:id="currentSource104"/>
    <x:hyperlink ref="F105" r:id="currentSource105"/>
    <x:hyperlink ref="F106" r:id="currentSource106"/>
    <x:hyperlink ref="F107" r:id="currentSource107"/>
    <x:hyperlink ref="F108" r:id="currentSource108"/>
    <x:hyperlink ref="F109" r:id="currentSource109"/>
    <x:hyperlink ref="F110" r:id="currentSource110"/>
    <x:hyperlink ref="F111" r:id="currentSource111"/>
    <x:hyperlink ref="F112" r:id="currentSource112"/>
    <x:hyperlink ref="F113" r:id="currentSource113"/>
    <x:hyperlink ref="F114" r:id="currentSource114"/>
    <x:hyperlink ref="F115" r:id="currentSource115"/>
    <x:hyperlink ref="F116" r:id="currentSource116"/>
    <x:hyperlink ref="F117" r:id="currentSource117"/>
    <x:hyperlink ref="F118" r:id="currentSource118"/>
    <x:hyperlink ref="F119" r:id="currentSource119"/>
    <x:hyperlink ref="F120" r:id="currentSource120"/>
    <x:hyperlink ref="F121" r:id="currentSource121"/>
    <x:hyperlink ref="F122" r:id="currentSource122"/>
    <x:hyperlink ref="F123" r:id="currentSource123"/>
    <x:hyperlink ref="F124" r:id="currentSource124"/>
    <x:hyperlink ref="F125" r:id="currentSource125"/>
    <x:hyperlink ref="F126" r:id="currentSource126"/>
    <x:hyperlink ref="F127" r:id="currentSource127"/>
    <x:hyperlink ref="F128" r:id="currentSource128"/>
    <x:hyperlink ref="F129" r:id="currentSource129"/>
    <x:hyperlink ref="F130" r:id="currentSource130"/>
    <x:hyperlink ref="F131" r:id="currentSource131"/>
    <x:hyperlink ref="F132" r:id="currentSource132"/>
    <x:hyperlink ref="F133" r:id="currentSource133"/>
    <x:hyperlink ref="F134" r:id="currentSource134"/>
    <x:hyperlink ref="F135" r:id="currentSource135"/>
    <x:hyperlink ref="F136" r:id="currentSource136"/>
    <x:hyperlink ref="F137" r:id="currentSource137"/>
    <x:hyperlink ref="F138" r:id="currentSource138"/>
    <x:hyperlink ref="F139" r:id="currentSource139"/>
    <x:hyperlink ref="F140" r:id="currentSource140"/>
    <x:hyperlink ref="F141" r:id="currentSource141"/>
    <x:hyperlink ref="F142" r:id="currentSource142"/>
    <x:hyperlink ref="F143" r:id="currentSource143"/>
    <x:hyperlink ref="F144" r:id="currentSource144"/>
    <x:hyperlink ref="F145" r:id="currentSource145"/>
    <x:hyperlink ref="F146" r:id="currentSource146"/>
    <x:hyperlink ref="F147" r:id="currentSource147"/>
    <x:hyperlink ref="F148" r:id="currentSource148"/>
    <x:hyperlink ref="F149" r:id="currentSource149"/>
    <x:hyperlink ref="F150" r:id="currentSource150"/>
    <x:hyperlink ref="F151" r:id="currentSource151"/>
    <x:hyperlink ref="F152" r:id="currentSource152"/>
    <x:hyperlink ref="F153" r:id="currentSource153"/>
    <x:hyperlink ref="F154" r:id="currentSource154"/>
    <x:hyperlink ref="F155" r:id="currentSource155"/>
    <x:hyperlink ref="F156" r:id="currentSource156"/>
    <x:hyperlink ref="F157" r:id="currentSource157"/>
    <x:hyperlink ref="F158" r:id="currentSource158"/>
    <x:hyperlink ref="F159" r:id="currentSource159"/>
    <x:hyperlink ref="F160" r:id="currentSource160"/>
    <x:hyperlink ref="F161" r:id="currentSource161"/>
    <x:hyperlink ref="F162" r:id="currentSource162"/>
    <x:hyperlink ref="F163" r:id="currentSource163"/>
    <x:hyperlink ref="F164" r:id="currentSource164"/>
    <x:hyperlink ref="F165" r:id="currentSource165"/>
    <x:hyperlink ref="F166" r:id="currentSource166"/>
    <x:hyperlink ref="F167" r:id="currentSource167"/>
    <x:hyperlink ref="F168" r:id="currentSource168"/>
    <x:hyperlink ref="F169" r:id="currentSource169"/>
    <x:hyperlink ref="F170" r:id="currentSource170"/>
    <x:hyperlink ref="F171" r:id="currentSource171"/>
    <x:hyperlink ref="F172" r:id="currentSource172"/>
    <x:hyperlink ref="F173" r:id="currentSource173"/>
    <x:hyperlink ref="F174" r:id="currentSource174"/>
    <x:hyperlink ref="F175" r:id="currentSource175"/>
    <x:hyperlink ref="F176" r:id="currentSource176"/>
    <x:hyperlink ref="F177" r:id="currentSource177"/>
    <x:hyperlink ref="F178" r:id="currentSource178"/>
    <x:hyperlink ref="F179" r:id="currentSource179"/>
    <x:hyperlink ref="F180" r:id="currentSource180"/>
    <x:hyperlink ref="F181" r:id="currentSource181"/>
    <x:hyperlink ref="F182" r:id="currentSource182"/>
    <x:hyperlink ref="F183" r:id="currentSource183"/>
    <x:hyperlink ref="F184" r:id="currentSource184"/>
    <x:hyperlink ref="F185" r:id="currentSource185"/>
    <x:hyperlink ref="F186" r:id="currentSource186"/>
    <x:hyperlink ref="F187" r:id="currentSource187"/>
  </x:hyperlinks>
  <x:pageMargins left="0.7" right="0.7" top="0.75" bottom="0.75" header="0.3" footer="0.3"/>
  <x:tableParts count="1">
    <x:tablePart r:id="tableCurrentReferences"/>
  </x:tableParts>
</x:worksheet>
</file>

<file path=xl/worksheets/sheet13.xml><?xml version="1.0" encoding="utf-8"?>
<x:worksheet xmlns:x="http://schemas.openxmlformats.org/spreadsheetml/2006/main">
  <x:sheetPr>
    <x:tabColor rgb="FF17365D"/>
  </x:sheetPr>
  <x:sheetViews>
    <x:sheetView showGridLines="0" workbookViewId="0"/>
  </x:sheetViews>
  <x:sheetFormatPr defaultRowHeight="15"/>
  <x:cols>
    <x:col min="1" max="1" width="3" hidden="0" customWidth="1"/>
    <x:col min="2" max="2" width="34" hidden="0" customWidth="1"/>
    <x:col min="3" max="3" width="14" hidden="0" customWidth="1"/>
    <x:col min="4" max="4" width="17" hidden="0" customWidth="1"/>
    <x:col min="5" max="5" width="18" hidden="0" customWidth="1"/>
    <x:col min="6" max="6" width="17" hidden="0" customWidth="1"/>
    <x:col min="7" max="7" width="20" hidden="0" customWidth="1"/>
    <x:col min="8" max="8" width="20" hidden="0" customWidth="1"/>
  </x:cols>
  <x:sheetData>
    <x:row r="1">
      <x:c r="A1" s="83"/>
      <x:c r="B1" s="83"/>
      <x:c r="C1" s="83"/>
      <x:c r="D1" s="83"/>
      <x:c r="E1" s="83"/>
      <x:c r="F1" s="83"/>
      <x:c r="G1" s="83"/>
      <x:c r="H1" s="83"/>
    </x:row>
    <x:row r="2" ht="27" customHeight="1">
      <x:c r="A2" s="83"/>
      <x:c r="B2" s="94" t="str">
        <x:v>Finalized manipulation review corpus</x:v>
      </x:c>
      <x:c r="C2" s="83"/>
      <x:c r="D2" s="83"/>
      <x:c r="E2" s="83"/>
      <x:c r="F2" s="83"/>
      <x:c r="G2" s="83"/>
      <x:c r="H2" s="83"/>
    </x:row>
    <x:row r="3">
      <x:c r="A3" s="83"/>
      <x:c r="B3" s="95" t="str">
        <x:v>Author-confirmed corpus; three named sources checked and included on 2 October 2026</x:v>
      </x:c>
      <x:c r="C3" s="83"/>
      <x:c r="D3" s="83"/>
      <x:c r="E3" s="83"/>
      <x:c r="F3" s="83"/>
      <x:c r="G3" s="83"/>
      <x:c r="H3" s="83"/>
    </x:row>
    <x:row r="4">
      <x:c r="A4" s="83"/>
      <x:c r="B4" s="83"/>
      <x:c r="C4" s="83"/>
      <x:c r="D4" s="83"/>
      <x:c r="E4" s="83"/>
      <x:c r="F4" s="83"/>
      <x:c r="G4" s="83"/>
      <x:c r="H4" s="83"/>
    </x:row>
    <x:row r="5" ht="42" customHeight="1">
      <x:c r="A5" s="83"/>
      <x:c r="B5" s="89" t="str">
        <x:v>Primary category</x:v>
      </x:c>
      <x:c r="C5" s="89" t="str">
        <x:v>All sources</x:v>
      </x:c>
      <x:c r="D5" s="89" t="str">
        <x:v>Screening recommendations</x:v>
      </x:c>
      <x:c r="E5" s="89" t="str">
        <x:v>Added included papers</x:v>
      </x:c>
      <x:c r="F5" s="89" t="str">
        <x:v>Background</x:v>
      </x:c>
      <x:c r="G5" s="89" t="str">
        <x:v>Needs verification</x:v>
      </x:c>
      <x:c r="H5" s="89" t="str">
        <x:v>Final included papers</x:v>
      </x:c>
    </x:row>
    <x:row r="6" ht="29" customHeight="1">
      <x:c r="A6" s="83"/>
      <x:c r="B6" s="83" t="str">
        <x:v>VLA</x:v>
      </x:c>
      <x:c r="C6" s="100" t="n">
        <x:f>COUNTIFS('Literature Register'!$B$2:$B$215,B6)</x:f>
        <x:v>92</x:v>
      </x:c>
      <x:c r="D6" s="100" t="n">
        <x:f>COUNTIFS('Literature Register'!$B$2:$B$215,B6,'Literature Register'!$H$2:$H$215,"Proposed include",'Literature Register'!$J$2:$J$215,"Paper")</x:f>
        <x:v>69</x:v>
      </x:c>
      <x:c r="E6" s="100" t="n">
        <x:f>COUNTIFS('Literature Register'!$B$2:$B$215,B6,'Literature Register'!$I$2:$I$215,"Include",'Literature Register'!$J$2:$J$215,"Paper",'Literature Register'!$N$2:$N$215,"&lt;&gt;Current manuscript")</x:f>
        <x:v>9</x:v>
      </x:c>
      <x:c r="F6" s="100" t="n">
        <x:f>COUNTIFS('Literature Register'!$B$2:$B$215,B6,'Literature Register'!$H$2:$H$215,"Background")</x:f>
        <x:v>18</x:v>
      </x:c>
      <x:c r="G6" s="100" t="n">
        <x:f>COUNTIFS('Literature Register'!$B$2:$B$215,B6,'Literature Register'!$H$2:$H$215,"Needs verification")</x:f>
        <x:v>0</x:v>
      </x:c>
      <x:c r="H6" s="100" t="n">
        <x:f>COUNTIFS('Literature Register'!$B$2:$B$215,B6,'Literature Register'!$I$2:$I$215,"Include",'Literature Register'!$J$2:$J$215,"Paper")</x:f>
        <x:v>69</x:v>
      </x:c>
    </x:row>
    <x:row r="7" ht="29" customHeight="1">
      <x:c r="A7" s="83"/>
      <x:c r="B7" s="83" t="str">
        <x:v>World model</x:v>
      </x:c>
      <x:c r="C7" s="100" t="n">
        <x:f>COUNTIFS('Literature Register'!$B$2:$B$215,B7)</x:f>
        <x:v>55</x:v>
      </x:c>
      <x:c r="D7" s="100" t="n">
        <x:f>COUNTIFS('Literature Register'!$B$2:$B$215,B7,'Literature Register'!$H$2:$H$215,"Proposed include",'Literature Register'!$J$2:$J$215,"Paper")</x:f>
        <x:v>42</x:v>
      </x:c>
      <x:c r="E7" s="100" t="n">
        <x:f>COUNTIFS('Literature Register'!$B$2:$B$215,B7,'Literature Register'!$I$2:$I$215,"Include",'Literature Register'!$J$2:$J$215,"Paper",'Literature Register'!$N$2:$N$215,"&lt;&gt;Current manuscript")</x:f>
        <x:v>10</x:v>
      </x:c>
      <x:c r="F7" s="100" t="n">
        <x:f>COUNTIFS('Literature Register'!$B$2:$B$215,B7,'Literature Register'!$H$2:$H$215,"Background")</x:f>
        <x:v>9</x:v>
      </x:c>
      <x:c r="G7" s="100" t="n">
        <x:f>COUNTIFS('Literature Register'!$B$2:$B$215,B7,'Literature Register'!$H$2:$H$215,"Needs verification")</x:f>
        <x:v>0</x:v>
      </x:c>
      <x:c r="H7" s="100" t="n">
        <x:f>COUNTIFS('Literature Register'!$B$2:$B$215,B7,'Literature Register'!$I$2:$I$215,"Include",'Literature Register'!$J$2:$J$215,"Paper")</x:f>
        <x:v>42</x:v>
      </x:c>
    </x:row>
    <x:row r="8" ht="29" customHeight="1">
      <x:c r="A8" s="83"/>
      <x:c r="B8" s="83" t="str">
        <x:v>Dataset / benchmark</x:v>
      </x:c>
      <x:c r="C8" s="100" t="n">
        <x:f>COUNTIFS('Literature Register'!$B$2:$B$215,B8)</x:f>
        <x:v>39</x:v>
      </x:c>
      <x:c r="D8" s="100" t="n">
        <x:f>COUNTIFS('Literature Register'!$B$2:$B$215,B8,'Literature Register'!$H$2:$H$215,"Proposed include",'Literature Register'!$J$2:$J$215,"Paper")</x:f>
        <x:v>33</x:v>
      </x:c>
      <x:c r="E8" s="100" t="n">
        <x:f>COUNTIFS('Literature Register'!$B$2:$B$215,B8,'Literature Register'!$I$2:$I$215,"Include",'Literature Register'!$J$2:$J$215,"Paper",'Literature Register'!$N$2:$N$215,"&lt;&gt;Current manuscript")</x:f>
        <x:v>7</x:v>
      </x:c>
      <x:c r="F8" s="100" t="n">
        <x:f>COUNTIFS('Literature Register'!$B$2:$B$215,B8,'Literature Register'!$H$2:$H$215,"Background")</x:f>
        <x:v>5</x:v>
      </x:c>
      <x:c r="G8" s="100" t="n">
        <x:f>COUNTIFS('Literature Register'!$B$2:$B$215,B8,'Literature Register'!$H$2:$H$215,"Needs verification")</x:f>
        <x:v>0</x:v>
      </x:c>
      <x:c r="H8" s="100" t="n">
        <x:f>COUNTIFS('Literature Register'!$B$2:$B$215,B8,'Literature Register'!$I$2:$I$215,"Include",'Literature Register'!$J$2:$J$215,"Paper")</x:f>
        <x:v>33</x:v>
      </x:c>
    </x:row>
    <x:row r="9" ht="29" customHeight="1">
      <x:c r="A9" s="83"/>
      <x:c r="B9" s="83" t="str">
        <x:v>Background / other</x:v>
      </x:c>
      <x:c r="C9" s="100" t="n">
        <x:f>COUNTIFS('Literature Register'!$B$2:$B$215,B9)</x:f>
        <x:v>28</x:v>
      </x:c>
      <x:c r="D9" s="100" t="n">
        <x:f>COUNTIFS('Literature Register'!$B$2:$B$215,B9,'Literature Register'!$H$2:$H$215,"Proposed include",'Literature Register'!$J$2:$J$215,"Paper")</x:f>
        <x:v>0</x:v>
      </x:c>
      <x:c r="E9" s="100" t="n">
        <x:f>COUNTIFS('Literature Register'!$B$2:$B$215,B9,'Literature Register'!$I$2:$I$215,"Include",'Literature Register'!$J$2:$J$215,"Paper",'Literature Register'!$N$2:$N$215,"&lt;&gt;Current manuscript")</x:f>
        <x:v>0</x:v>
      </x:c>
      <x:c r="F9" s="100" t="n">
        <x:f>COUNTIFS('Literature Register'!$B$2:$B$215,B9,'Literature Register'!$H$2:$H$215,"Background")</x:f>
        <x:v>28</x:v>
      </x:c>
      <x:c r="G9" s="100" t="n">
        <x:f>COUNTIFS('Literature Register'!$B$2:$B$215,B9,'Literature Register'!$H$2:$H$215,"Needs verification")</x:f>
        <x:v>0</x:v>
      </x:c>
      <x:c r="H9" s="100" t="n">
        <x:f>COUNTIFS('Literature Register'!$B$2:$B$215,B9,'Literature Register'!$I$2:$I$215,"Include",'Literature Register'!$J$2:$J$215,"Paper")</x:f>
        <x:v>0</x:v>
      </x:c>
    </x:row>
    <x:row r="10" ht="29" customHeight="1">
      <x:c r="A10" s="83"/>
      <x:c r="B10" s="103" t="str">
        <x:v>Total distinct sources</x:v>
      </x:c>
      <x:c r="C10" s="104" t="n">
        <x:f>SUM(C6:C9)</x:f>
        <x:v>214</x:v>
      </x:c>
      <x:c r="D10" s="104" t="n">
        <x:f>SUM(D6:D9)</x:f>
        <x:v>144</x:v>
      </x:c>
      <x:c r="E10" s="104" t="n">
        <x:f>SUM(E6:E9)</x:f>
        <x:v>26</x:v>
      </x:c>
      <x:c r="F10" s="104" t="n">
        <x:f>SUM(F6:F9)</x:f>
        <x:v>60</x:v>
      </x:c>
      <x:c r="G10" s="104" t="n">
        <x:f>SUM(G6:G9)</x:f>
        <x:v>0</x:v>
      </x:c>
      <x:c r="H10" s="104" t="n">
        <x:f>SUM(H6:H9)</x:f>
        <x:v>144</x:v>
      </x:c>
    </x:row>
    <x:row r="11">
      <x:c r="A11" s="83"/>
      <x:c r="B11" s="83"/>
      <x:c r="C11" s="83"/>
      <x:c r="D11" s="83"/>
      <x:c r="E11" s="83"/>
      <x:c r="F11" s="83"/>
      <x:c r="G11" s="83"/>
      <x:c r="H11" s="83"/>
    </x:row>
    <x:row r="12" ht="23" customHeight="1">
      <x:c r="A12" s="83"/>
      <x:c r="B12" s="83" t="str">
        <x:v>Other technical/software sources</x:v>
      </x:c>
      <x:c r="C12" s="100" t="n">
        <x:f>COUNTIFS('Literature Register'!$J$2:$J$215,"Technical release / software")</x:f>
        <x:v>10</x:v>
      </x:c>
      <x:c r="D12" s="83"/>
      <x:c r="E12" s="83"/>
      <x:c r="F12" s="83"/>
      <x:c r="G12" s="83"/>
      <x:c r="H12" s="83"/>
    </x:row>
    <x:row r="13" ht="23" customHeight="1">
      <x:c r="A13" s="83"/>
      <x:c r="B13" s="83" t="str">
        <x:v>Primary-source checks recorded</x:v>
      </x:c>
      <x:c r="C13" s="100" t="n">
        <x:f>COUNTIFS('Literature Register'!$P$2:$P$215,"Primary source checked this update")</x:f>
        <x:v>86</x:v>
      </x:c>
      <x:c r="D13" s="83"/>
      <x:c r="E13" s="83"/>
      <x:c r="F13" s="83"/>
      <x:c r="G13" s="83"/>
      <x:c r="H13" s="83"/>
    </x:row>
    <x:row r="14" ht="23" customHeight="1">
      <x:c r="A14" s="83"/>
      <x:c r="B14" s="83" t="str">
        <x:v>Author decisions pending</x:v>
      </x:c>
      <x:c r="C14" s="100" t="n">
        <x:f>COUNTIFS('Literature Register'!$I$2:$I$215,"Pending")</x:f>
        <x:v>0</x:v>
      </x:c>
      <x:c r="D14" s="83"/>
      <x:c r="E14" s="83"/>
      <x:c r="F14" s="83"/>
      <x:c r="G14" s="83"/>
      <x:c r="H14" s="83"/>
    </x:row>
    <x:row r="15" ht="23" customHeight="1">
      <x:c r="A15" s="83"/>
      <x:c r="B15" s="83" t="str">
        <x:v>Current citation keys accounted</x:v>
      </x:c>
      <x:c r="C15" s="100" t="n">
        <x:v>186</x:v>
      </x:c>
      <x:c r="D15" s="83"/>
      <x:c r="E15" s="83"/>
      <x:c r="F15" s="83"/>
      <x:c r="G15" s="83"/>
      <x:c r="H15" s="83"/>
    </x:row>
    <x:row r="16" ht="23" customHeight="1">
      <x:c r="A16" s="83"/>
      <x:c r="B16" s="83" t="str">
        <x:v>Mapped table citation occurrences</x:v>
      </x:c>
      <x:c r="C16" s="100" t="n">
        <x:v>96</x:v>
      </x:c>
      <x:c r="D16" s="83"/>
      <x:c r="E16" s="83"/>
      <x:c r="F16" s="83"/>
      <x:c r="G16" s="83"/>
      <x:c r="H16" s="83"/>
    </x:row>
    <x:row r="17">
      <x:c r="A17" s="83"/>
      <x:c r="B17" s="83"/>
      <x:c r="C17" s="83"/>
      <x:c r="D17" s="83"/>
      <x:c r="E17" s="83"/>
      <x:c r="F17" s="83"/>
      <x:c r="G17" s="83"/>
      <x:c r="H17" s="83"/>
    </x:row>
    <x:row r="18" ht="24" customHeight="1">
      <x:c r="A18" s="83"/>
      <x:c r="B18" s="83" t="str">
        <x:v>Author-confirmed on 2 October 2026: 144 reports comprising 69 VLA, 42 world-model and 33 dataset/benchmark reports.</x:v>
      </x:c>
      <x:c r="C18" s="83"/>
      <x:c r="D18" s="83"/>
      <x:c r="E18" s="83"/>
      <x:c r="F18" s="83"/>
      <x:c r="G18" s="83"/>
      <x:c r="H18" s="83"/>
    </x:row>
    <x:row r="19" ht="24" customHeight="1">
      <x:c r="A19" s="83"/>
      <x:c r="B19" s="83" t="str">
        <x:v>One source is counted once by arXiv/DOI or primary-report identifier. Hybrid roles remain in Secondary roles.</x:v>
      </x:c>
      <x:c r="C19" s="83"/>
      <x:c r="D19" s="83"/>
      <x:c r="E19" s="83"/>
      <x:c r="F19" s="83"/>
      <x:c r="G19" s="83"/>
      <x:c r="H19" s="83"/>
    </x:row>
    <x:row r="20" ht="24" customHeight="1">
      <x:c r="A20" s="83"/>
      <x:c r="B20" s="83" t="str">
        <x:v>VLA scope: visual and language-conditioned manipulation policies and directly relevant training/inference methods.</x:v>
      </x:c>
      <x:c r="C20" s="83"/>
      <x:c r="D20" s="83"/>
      <x:c r="E20" s="83"/>
      <x:c r="F20" s="83"/>
      <x:c r="G20" s="83"/>
      <x:c r="H20" s="83"/>
    </x:row>
    <x:row r="21" ht="24" customHeight="1">
      <x:c r="A21" s="83"/>
      <x:c r="B21" s="83" t="str">
        <x:v>World-model scope: predictive systems with demonstrated relevance to manipulation, learned simulation, or robot control.</x:v>
      </x:c>
      <x:c r="C21" s="83"/>
      <x:c r="D21" s="83"/>
      <x:c r="E21" s="83"/>
      <x:c r="F21" s="83"/>
      <x:c r="G21" s="83"/>
      <x:c r="H21" s="83"/>
    </x:row>
    <x:row r="22" ht="24" customHeight="1">
      <x:c r="A22" s="83"/>
      <x:c r="B22" s="83" t="str">
        <x:v>Dataset/benchmark scope includes manipulation corpora, data-generation resources, benchmarks, and evaluation studies.</x:v>
      </x:c>
      <x:c r="C22" s="83"/>
      <x:c r="D22" s="83"/>
      <x:c r="E22" s="83"/>
      <x:c r="F22" s="83"/>
      <x:c r="G22" s="83"/>
      <x:c r="H22" s="83"/>
    </x:row>
    <x:row r="23" ht="24" customHeight="1">
      <x:c r="A23" s="83"/>
      <x:c r="B23" s="83" t="str">
        <x:v>Game-only, general-video, historical, survey, and method-context sources are retained as Background where appropriate.</x:v>
      </x:c>
      <x:c r="C23" s="83"/>
      <x:c r="D23" s="83"/>
      <x:c r="E23" s="83"/>
      <x:c r="F23" s="83"/>
      <x:c r="G23" s="83"/>
      <x:c r="H23" s="83"/>
    </x:row>
    <x:row r="24" ht="24" customHeight="1">
      <x:c r="A24" s="83"/>
      <x:c r="B24" s="83" t="str">
        <x:v>October 2 checks added three included sources and four contextual Background papers; the corpus remains 144 reports.</x:v>
      </x:c>
      <x:c r="C24" s="83"/>
      <x:c r="D24" s="83"/>
      <x:c r="E24" s="83"/>
      <x:c r="F24" s="83"/>
      <x:c r="G24" s="83"/>
      <x:c r="H24" s="83"/>
    </x:row>
    <x:row r="25" ht="24" customHeight="1">
      <x:c r="A25" s="83"/>
      <x:c r="B25" s="83" t="str">
        <x:v>Screening recommendations are retained separately. Final included papers are calculated from the Author decision cells.</x:v>
      </x:c>
      <x:c r="C25" s="83"/>
      <x:c r="D25" s="83"/>
      <x:c r="E25" s="83"/>
      <x:c r="F25" s="83"/>
      <x:c r="G25" s="83"/>
      <x:c r="H25" s="83"/>
    </x:row>
    <x:row r="26" ht="24" customHeight="1">
      <x:c r="A26" s="83"/>
      <x:c r="B26" s="83" t="str">
        <x:v>Use the filters on Literature Register and Table Coverage. All original workbook sheets and quantitative data are preserved.</x:v>
      </x:c>
      <x:c r="C26" s="83"/>
      <x:c r="D26" s="83"/>
      <x:c r="E26" s="83"/>
      <x:c r="F26" s="83"/>
      <x:c r="G26" s="83"/>
      <x:c r="H26" s="83"/>
    </x:row>
    <x:row r="27" ht="24" customHeight="1">
      <x:c r="A27" s="83"/>
      <x:c r="B27" s="83" t="str">
        <x:v>Year is the first arXiv submission year where available, otherwise the source year. Publication-year differences are in Notes.</x:v>
      </x:c>
      <x:c r="C27" s="83"/>
      <x:c r="D27" s="83"/>
      <x:c r="E27" s="83"/>
      <x:c r="F27" s="83"/>
      <x:c r="G27" s="83"/>
      <x:c r="H27" s="83"/>
    </x:row>
    <x:row r="28" ht="24" customHeight="1">
      <x:c r="A28" s="83"/>
      <x:c r="B28" s="83" t="str">
        <x:v>Table Coverage adds Seer, VPP and UWM to the retained mapping; R211–R214 are contextual citations outside the corpus.</x:v>
      </x:c>
      <x:c r="C28" s="83"/>
      <x:c r="D28" s="83"/>
      <x:c r="E28" s="83"/>
      <x:c r="F28" s="83"/>
      <x:c r="G28" s="83"/>
      <x:c r="H28" s="83"/>
    </x:row>
    <x:row r="29">
      <x:c r="A29" s="83"/>
      <x:c r="B29" s="83"/>
      <x:c r="C29" s="83"/>
      <x:c r="D29" s="83"/>
      <x:c r="E29" s="83"/>
      <x:c r="F29" s="83"/>
      <x:c r="G29" s="83"/>
      <x:c r="H29" s="83"/>
    </x:row>
  </x:sheetData>
  <x:pageMargins left="0.7" right="0.7" top="0.75" bottom="0.75" header="0.3" footer="0.3"/>
</x:worksheet>
</file>

<file path=xl/worksheets/sheet14.xml><?xml version="1.0" encoding="utf-8"?>
<x:worksheet xmlns:r="http://schemas.openxmlformats.org/officeDocument/2006/relationships" xmlns:x="http://schemas.openxmlformats.org/spreadsheetml/2006/main">
  <x:sheetPr>
    <x:tabColor rgb="FF355C7D"/>
  </x:sheetPr>
  <x:sheetViews>
    <x:sheetView showGridLines="0" workbookViewId="0">
      <x:pane xSplit="3" ySplit="1" topLeftCell="D2" activePane="bottomRight" state="frozen"/>
    </x:sheetView>
  </x:sheetViews>
  <x:sheetFormatPr defaultRowHeight="15"/>
  <x:cols>
    <x:col min="1" max="1" width="12" hidden="0" customWidth="1"/>
    <x:col min="2" max="2" width="24" hidden="0" customWidth="1"/>
    <x:col min="3" max="3" width="31" hidden="0" customWidth="1"/>
    <x:col min="4" max="4" width="18" hidden="0" customWidth="1"/>
    <x:col min="5" max="5" width="75" hidden="0" customWidth="1"/>
    <x:col min="6" max="6" width="99" hidden="0" customWidth="1"/>
    <x:col min="7" max="7" width="53" hidden="0" customWidth="1"/>
    <x:col min="8" max="8" width="22" hidden="0" customWidth="1"/>
    <x:col min="9" max="9" width="19" hidden="0" customWidth="1"/>
    <x:col min="10" max="10" width="27" hidden="0" customWidth="1"/>
    <x:col min="11" max="11" width="40" hidden="0" customWidth="1"/>
    <x:col min="12" max="12" width="28" hidden="0" customWidth="1"/>
    <x:col min="13" max="13" width="23" hidden="0" customWidth="1"/>
    <x:col min="14" max="14" width="25" hidden="0" customWidth="1"/>
    <x:col min="15" max="15" width="33" hidden="0" customWidth="1"/>
    <x:col min="16" max="16" width="38" hidden="0" customWidth="1"/>
    <x:col min="17" max="17" width="16" hidden="0" customWidth="1"/>
    <x:col min="18" max="18" width="65" hidden="0" customWidth="1"/>
    <x:col min="19" max="19" width="28" hidden="0" customWidth="1"/>
    <x:col min="20" max="20" width="38" hidden="0" customWidth="1"/>
    <x:col min="21" max="21" width="83" hidden="0" customWidth="1"/>
    <x:col min="22" max="22" width="93" hidden="0" customWidth="1"/>
  </x:cols>
  <x:sheetData>
    <x:row r="1" ht="33" customHeight="1">
      <x:c r="A1" s="89" t="str">
        <x:v>Record ID</x:v>
      </x:c>
      <x:c r="B1" s="89" t="str">
        <x:v>Primary category</x:v>
      </x:c>
      <x:c r="C1" s="89" t="str">
        <x:v>Model / resource</x:v>
      </x:c>
      <x:c r="D1" s="89" t="str">
        <x:v>Preprint / source year</x:v>
      </x:c>
      <x:c r="E1" s="89" t="str">
        <x:v>Paper / report title</x:v>
      </x:c>
      <x:c r="F1" s="89" t="str">
        <x:v>Two-sentence summary</x:v>
      </x:c>
      <x:c r="G1" s="89" t="str">
        <x:v>Primary source link</x:v>
      </x:c>
      <x:c r="H1" s="89" t="str">
        <x:v>Screening recommendation</x:v>
      </x:c>
      <x:c r="I1" s="89" t="str">
        <x:v>Author decision</x:v>
      </x:c>
      <x:c r="J1" s="89" t="str">
        <x:v>Source type</x:v>
      </x:c>
      <x:c r="K1" s="89" t="str">
        <x:v>Subtype</x:v>
      </x:c>
      <x:c r="L1" s="89" t="str">
        <x:v>Secondary roles</x:v>
      </x:c>
      <x:c r="M1" s="89" t="str">
        <x:v>Domain scope</x:v>
      </x:c>
      <x:c r="N1" s="89" t="str">
        <x:v>Discovery origin</x:v>
      </x:c>
      <x:c r="O1" s="89" t="str">
        <x:v>Canonical identifier</x:v>
      </x:c>
      <x:c r="P1" s="89" t="str">
        <x:v>Source verification</x:v>
      </x:c>
      <x:c r="Q1" s="89" t="str">
        <x:v>Checked date</x:v>
      </x:c>
      <x:c r="R1" s="89" t="str">
        <x:v>Source locator</x:v>
      </x:c>
      <x:c r="S1" s="89" t="str">
        <x:v>Citation keys</x:v>
      </x:c>
      <x:c r="T1" s="89" t="str">
        <x:v>Manuscript locations</x:v>
      </x:c>
      <x:c r="U1" s="89" t="str">
        <x:v>Decision reason</x:v>
      </x:c>
      <x:c r="V1" s="89" t="str">
        <x:v>Notes</x:v>
      </x:c>
    </x:row>
    <x:row r="2" ht="61" customHeight="1">
      <x:c r="A2" s="85" t="str">
        <x:v>R001</x:v>
      </x:c>
      <x:c r="B2" s="85" t="str">
        <x:v>VLA</x:v>
      </x:c>
      <x:c r="C2" s="85" t="str">
        <x:v>3D-CAVLA</x:v>
      </x:c>
      <x:c r="D2" s="91" t="n">
        <x:v>2025</x:v>
      </x:c>
      <x:c r="E2" s="85" t="str">
        <x:v>3D CAVLA: Leveraging Depth and 3D Context to Generalize Vision-Language-Action Models for Unseen Tasks</x:v>
      </x:c>
      <x:c r="F2" s="85" t="str">
        <x:v>3D-CAVLA combines depth information, task-relevant visual regions, and intermediate reasoning for VLA adaptation. These cues support manipulation in tasks beyond those seen during training.</x:v>
      </x:c>
      <x:c r="G2" s="92" t="str">
        <x:v>https://arxiv.org/abs/2505.05800</x:v>
      </x:c>
      <x:c r="H2" s="85" t="str">
        <x:v>Proposed include</x:v>
      </x:c>
      <x:c r="I2" s="93" t="str">
        <x:v>Include</x:v>
      </x:c>
      <x:c r="J2" s="85" t="str">
        <x:v>Paper</x:v>
      </x:c>
      <x:c r="K2" s="85" t="str">
        <x:v>Language-conditioned spatial manipulation policy</x:v>
      </x:c>
      <x:c r="L2" s="85" t="str"/>
      <x:c r="M2" s="85" t="str">
        <x:v>manipulation</x:v>
      </x:c>
      <x:c r="N2" s="85" t="str">
        <x:v>Current manuscript</x:v>
      </x:c>
      <x:c r="O2" s="85" t="str">
        <x:v>arXiv:2505.05800</x:v>
      </x:c>
      <x:c r="P2" s="85" t="str">
        <x:v>Prior primary-source check retained</x:v>
      </x:c>
      <x:c r="Q2" s="85" t="str"/>
      <x:c r="R2" s="85" t="str">
        <x:v>Established companion catalogue primary-source trace; not freshly rechecked this update.</x:v>
      </x:c>
      <x:c r="S2" s="85" t="str">
        <x:v>cavla</x:v>
      </x:c>
      <x:c r="T2" s="85" t="str">
        <x:v>Companion model catalogue; SectionIV</x:v>
      </x:c>
      <x:c r="U2" s="85" t="str">
        <x:v>Primary report proposes a visually and linguistically conditioned manipulation policy or a directly evaluated VLA training/inference method.</x:v>
      </x:c>
      <x:c r="V2" s="85" t="str"/>
    </x:row>
    <x:row r="3" ht="61" customHeight="1">
      <x:c r="A3" s="85" t="str">
        <x:v>R002</x:v>
      </x:c>
      <x:c r="B3" s="85" t="str">
        <x:v>VLA</x:v>
      </x:c>
      <x:c r="C3" s="85" t="str">
        <x:v>3D-VLA</x:v>
      </x:c>
      <x:c r="D3" s="91" t="n">
        <x:v>2024</x:v>
      </x:c>
      <x:c r="E3" s="85" t="str">
        <x:v>3D-VLA: A 3D Vision-Language-Action Generative World Model</x:v>
      </x:c>
      <x:c r="F3" s="85" t="str">
        <x:v>3D-VLA combines three-dimensional vision-language representations with generation of future observations and robot actions. It connects spatial grounding with predictive policy learning for manipulation.</x:v>
      </x:c>
      <x:c r="G3" s="92" t="str">
        <x:v>https://arxiv.org/abs/2403.09631</x:v>
      </x:c>
      <x:c r="H3" s="85" t="str">
        <x:v>Proposed include</x:v>
      </x:c>
      <x:c r="I3" s="93" t="str">
        <x:v>Include</x:v>
      </x:c>
      <x:c r="J3" s="85" t="str">
        <x:v>Paper</x:v>
      </x:c>
      <x:c r="K3" s="85" t="str">
        <x:v>Predictive VLA policy</x:v>
      </x:c>
      <x:c r="L3" s="85" t="str">
        <x:v>WM / predictive-policy overlap</x:v>
      </x:c>
      <x:c r="M3" s="85" t="str">
        <x:v>manipulation</x:v>
      </x:c>
      <x:c r="N3" s="85" t="str">
        <x:v>Current manuscript</x:v>
      </x:c>
      <x:c r="O3" s="85" t="str">
        <x:v>arXiv:2403.09631</x:v>
      </x:c>
      <x:c r="P3" s="85" t="str">
        <x:v>Prior primary-source check retained</x:v>
      </x:c>
      <x:c r="Q3" s="85" t="str"/>
      <x:c r="R3" s="85" t="str">
        <x:v>Established companion catalogue primary-source trace; not freshly rechecked this update.</x:v>
      </x:c>
      <x:c r="S3" s="85" t="str">
        <x:v>threedvla</x:v>
      </x:c>
      <x:c r="T3" s="85" t="str">
        <x:v>Companion model catalogue; SectionIV; Table2/tab:vla-master; tab:vla-master</x:v>
      </x:c>
      <x:c r="U3" s="85" t="str">
        <x:v>Primary report proposes a visually and linguistically conditioned manipulation policy or a directly evaluated VLA training/inference method.</x:v>
      </x:c>
      <x:c r="V3" s="85" t="str">
        <x:v>One report only; predictive-policy secondary tag does not generate a second WM count.</x:v>
      </x:c>
    </x:row>
    <x:row r="4" ht="61" customHeight="1">
      <x:c r="A4" s="85" t="str">
        <x:v>R003</x:v>
      </x:c>
      <x:c r="B4" s="85" t="str">
        <x:v>VLA</x:v>
      </x:c>
      <x:c r="C4" s="85" t="str">
        <x:v>Act3D (language-conditioned 3D policy)</x:v>
      </x:c>
      <x:c r="D4" s="91" t="n">
        <x:v>2023</x:v>
      </x:c>
      <x:c r="E4" s="85" t="str">
        <x:v>Act3D: 3D Feature Field Transformers for Multi-Task Robotic Manipulation</x:v>
      </x:c>
      <x:c r="F4" s="85" t="str">
        <x:v>Act3D uses a hierarchical three-dimensional feature field with task-instruction conditioning to predict manipulation actions. Coarse-to-fine spatial sampling concentrates computation where precise action prediction is needed.</x:v>
      </x:c>
      <x:c r="G4" s="92" t="str">
        <x:v>https://arxiv.org/abs/2306.17817</x:v>
      </x:c>
      <x:c r="H4" s="85" t="str">
        <x:v>Proposed include</x:v>
      </x:c>
      <x:c r="I4" s="93" t="str">
        <x:v>Include</x:v>
      </x:c>
      <x:c r="J4" s="85" t="str">
        <x:v>Paper</x:v>
      </x:c>
      <x:c r="K4" s="85" t="str">
        <x:v>Language-conditioned spatial manipulation policy</x:v>
      </x:c>
      <x:c r="L4" s="85" t="str"/>
      <x:c r="M4" s="85" t="str">
        <x:v>manipulation</x:v>
      </x:c>
      <x:c r="N4" s="85" t="str">
        <x:v>Current manuscript</x:v>
      </x:c>
      <x:c r="O4" s="85" t="str">
        <x:v>arXiv:2306.17817</x:v>
      </x:c>
      <x:c r="P4" s="85" t="str">
        <x:v>Prior primary-source check retained</x:v>
      </x:c>
      <x:c r="Q4" s="85" t="str"/>
      <x:c r="R4" s="85" t="str">
        <x:v>Established companion catalogue primary-source trace; not freshly rechecked this update.</x:v>
      </x:c>
      <x:c r="S4" s="85" t="str">
        <x:v>act3d</x:v>
      </x:c>
      <x:c r="T4" s="85" t="str">
        <x:v>Companion model catalogue; SectionIV</x:v>
      </x:c>
      <x:c r="U4" s="85" t="str">
        <x:v>Primary report proposes a visually and linguistically conditioned manipulation policy or a directly evaluated VLA training/inference method.</x:v>
      </x:c>
      <x:c r="V4" s="85" t="str"/>
    </x:row>
    <x:row r="5" ht="61" customHeight="1">
      <x:c r="A5" s="85" t="str">
        <x:v>R004</x:v>
      </x:c>
      <x:c r="B5" s="85" t="str">
        <x:v>VLA</x:v>
      </x:c>
      <x:c r="C5" s="85" t="str">
        <x:v>BitVLA</x:v>
      </x:c>
      <x:c r="D5" s="91" t="n">
        <x:v>2025</x:v>
      </x:c>
      <x:c r="E5" s="85" t="str">
        <x:v>BitVLA: 1-Bit Vision-Language-Action Models for Robotics Manipulation</x:v>
      </x:c>
      <x:c r="F5" s="85" t="str">
        <x:v>BitVLA combines low-bit model weights with visual-encoder compression to reduce the memory and inference demands of a VLA policy. It addresses resource-efficient manipulation deployment rather than explicit prediction of action consequences.</x:v>
      </x:c>
      <x:c r="G5" s="92" t="str">
        <x:v>https://arxiv.org/abs/2506.07530</x:v>
      </x:c>
      <x:c r="H5" s="85" t="str">
        <x:v>Proposed include</x:v>
      </x:c>
      <x:c r="I5" s="93" t="str">
        <x:v>Include</x:v>
      </x:c>
      <x:c r="J5" s="85" t="str">
        <x:v>Paper</x:v>
      </x:c>
      <x:c r="K5" s="85" t="str">
        <x:v>VLA policy</x:v>
      </x:c>
      <x:c r="L5" s="85" t="str"/>
      <x:c r="M5" s="85" t="str">
        <x:v>manipulation</x:v>
      </x:c>
      <x:c r="N5" s="85" t="str">
        <x:v>Current manuscript</x:v>
      </x:c>
      <x:c r="O5" s="85" t="str">
        <x:v>arXiv:2506.07530</x:v>
      </x:c>
      <x:c r="P5" s="85" t="str">
        <x:v>Prior primary-source check retained</x:v>
      </x:c>
      <x:c r="Q5" s="85" t="str"/>
      <x:c r="R5" s="85" t="str">
        <x:v>Established companion catalogue primary-source trace; not freshly rechecked this update.</x:v>
      </x:c>
      <x:c r="S5" s="85" t="str">
        <x:v>bitvla</x:v>
      </x:c>
      <x:c r="T5" s="85" t="str">
        <x:v>Companion model catalogue; SectionIV; Table2/tab:vla-master; tab:vla-master</x:v>
      </x:c>
      <x:c r="U5" s="85" t="str">
        <x:v>Primary report proposes a visually and linguistically conditioned manipulation policy or a directly evaluated VLA training/inference method.</x:v>
      </x:c>
      <x:c r="V5" s="85" t="str"/>
    </x:row>
    <x:row r="6" ht="61" customHeight="1">
      <x:c r="A6" s="85" t="str">
        <x:v>R005</x:v>
      </x:c>
      <x:c r="B6" s="85" t="str">
        <x:v>VLA</x:v>
      </x:c>
      <x:c r="C6" s="85" t="str">
        <x:v>BridgeVLA</x:v>
      </x:c>
      <x:c r="D6" s="91" t="n">
        <x:v>2025</x:v>
      </x:c>
      <x:c r="E6" s="85" t="str">
        <x:v>BridgeVLA: Input-Output Alignment for Efficient 3D Manipulation Learning</x:v>
      </x:c>
      <x:c r="F6" s="85" t="str">
        <x:v>BridgeVLA projects three-dimensional observations into multiple image views and predicts spatial action heatmaps. This design aligns visual inputs with the spatial representation of control outputs.</x:v>
      </x:c>
      <x:c r="G6" s="92" t="str">
        <x:v>https://arxiv.org/abs/2506.07961</x:v>
      </x:c>
      <x:c r="H6" s="85" t="str">
        <x:v>Proposed include</x:v>
      </x:c>
      <x:c r="I6" s="93" t="str">
        <x:v>Include</x:v>
      </x:c>
      <x:c r="J6" s="85" t="str">
        <x:v>Paper</x:v>
      </x:c>
      <x:c r="K6" s="85" t="str">
        <x:v>Language-conditioned spatial manipulation policy</x:v>
      </x:c>
      <x:c r="L6" s="85" t="str"/>
      <x:c r="M6" s="85" t="str">
        <x:v>manipulation</x:v>
      </x:c>
      <x:c r="N6" s="85" t="str">
        <x:v>Current manuscript</x:v>
      </x:c>
      <x:c r="O6" s="85" t="str">
        <x:v>arXiv:2506.07961</x:v>
      </x:c>
      <x:c r="P6" s="85" t="str">
        <x:v>Prior primary-source check retained</x:v>
      </x:c>
      <x:c r="Q6" s="85" t="str"/>
      <x:c r="R6" s="85" t="str">
        <x:v>Established companion catalogue primary-source trace; not freshly rechecked this update.</x:v>
      </x:c>
      <x:c r="S6" s="85" t="str">
        <x:v>bridgevla</x:v>
      </x:c>
      <x:c r="T6" s="85" t="str">
        <x:v>Companion model catalogue; SectionIV</x:v>
      </x:c>
      <x:c r="U6" s="85" t="str">
        <x:v>Primary report proposes a visually and linguistically conditioned manipulation policy or a directly evaluated VLA training/inference method.</x:v>
      </x:c>
      <x:c r="V6" s="85" t="str"/>
    </x:row>
    <x:row r="7" ht="61" customHeight="1">
      <x:c r="A7" s="85" t="str">
        <x:v>R006</x:v>
      </x:c>
      <x:c r="B7" s="85" t="str">
        <x:v>VLA</x:v>
      </x:c>
      <x:c r="C7" s="85" t="str">
        <x:v>CEED-VLA</x:v>
      </x:c>
      <x:c r="D7" s="91" t="n">
        <x:v>2025</x:v>
      </x:c>
      <x:c r="E7" s="85" t="str">
        <x:v>CEED-VLA: Consistency Vision-Language-Action Model with Early-Exit Decoding</x:v>
      </x:c>
      <x:c r="F7" s="85" t="str">
        <x:v>CEED-VLA uses consistency distillation and early-exit decoding to accelerate action-token generation. It studies efficient execution of VLA policies under constrained inference budgets.</x:v>
      </x:c>
      <x:c r="G7" s="92" t="str">
        <x:v>https://arxiv.org/abs/2506.13725</x:v>
      </x:c>
      <x:c r="H7" s="85" t="str">
        <x:v>Proposed include</x:v>
      </x:c>
      <x:c r="I7" s="93" t="str">
        <x:v>Include</x:v>
      </x:c>
      <x:c r="J7" s="85" t="str">
        <x:v>Paper</x:v>
      </x:c>
      <x:c r="K7" s="85" t="str">
        <x:v>VLA training / inference method</x:v>
      </x:c>
      <x:c r="L7" s="85" t="str">
        <x:v>Efficiency</x:v>
      </x:c>
      <x:c r="M7" s="85" t="str">
        <x:v>manipulation</x:v>
      </x:c>
      <x:c r="N7" s="85" t="str">
        <x:v>Current manuscript</x:v>
      </x:c>
      <x:c r="O7" s="85" t="str">
        <x:v>arXiv:2506.13725</x:v>
      </x:c>
      <x:c r="P7" s="85" t="str">
        <x:v>Prior primary-source check retained</x:v>
      </x:c>
      <x:c r="Q7" s="85" t="str"/>
      <x:c r="R7" s="85" t="str">
        <x:v>Established companion catalogue primary-source trace; not freshly rechecked this update.</x:v>
      </x:c>
      <x:c r="S7" s="85" t="str">
        <x:v>ceedvla</x:v>
      </x:c>
      <x:c r="T7" s="85" t="str">
        <x:v>Companion model catalogue; SectionIV</x:v>
      </x:c>
      <x:c r="U7" s="85" t="str">
        <x:v>Primary report proposes a visually and linguistically conditioned manipulation policy or a directly evaluated VLA training/inference method.</x:v>
      </x:c>
      <x:c r="V7" s="85" t="str"/>
    </x:row>
    <x:row r="8" ht="61" customHeight="1">
      <x:c r="A8" s="85" t="str">
        <x:v>R007</x:v>
      </x:c>
      <x:c r="B8" s="85" t="str">
        <x:v>VLA</x:v>
      </x:c>
      <x:c r="C8" s="85" t="str">
        <x:v>CogACT</x:v>
      </x:c>
      <x:c r="D8" s="91" t="n">
        <x:v>2024</x:v>
      </x:c>
      <x:c r="E8" s="85" t="str">
        <x:v>CogACT: A Foundational Vision-Language-Action Model for Synergizing Cognition and Action in Robotic Manipulation</x:v>
      </x:c>
      <x:c r="F8" s="85" t="str">
        <x:v>CogACT couples a vision-language backbone to a specialized diffusion action transformer. This separation connects semantic interpretation with continuous manipulation commands.</x:v>
      </x:c>
      <x:c r="G8" s="92" t="str">
        <x:v>https://arxiv.org/abs/2411.19650</x:v>
      </x:c>
      <x:c r="H8" s="85" t="str">
        <x:v>Proposed include</x:v>
      </x:c>
      <x:c r="I8" s="93" t="str">
        <x:v>Include</x:v>
      </x:c>
      <x:c r="J8" s="85" t="str">
        <x:v>Paper</x:v>
      </x:c>
      <x:c r="K8" s="85" t="str">
        <x:v>VLA policy</x:v>
      </x:c>
      <x:c r="L8" s="85" t="str"/>
      <x:c r="M8" s="85" t="str">
        <x:v>manipulation</x:v>
      </x:c>
      <x:c r="N8" s="85" t="str">
        <x:v>Current manuscript</x:v>
      </x:c>
      <x:c r="O8" s="85" t="str">
        <x:v>arXiv:2411.19650</x:v>
      </x:c>
      <x:c r="P8" s="85" t="str">
        <x:v>Prior primary-source check retained</x:v>
      </x:c>
      <x:c r="Q8" s="85" t="str"/>
      <x:c r="R8" s="85" t="str">
        <x:v>Established companion catalogue primary-source trace; not freshly rechecked this update.</x:v>
      </x:c>
      <x:c r="S8" s="85" t="str">
        <x:v>cogact</x:v>
      </x:c>
      <x:c r="T8" s="85" t="str">
        <x:v>Companion model catalogue; SectionIV</x:v>
      </x:c>
      <x:c r="U8" s="85" t="str">
        <x:v>Primary report proposes a visually and linguistically conditioned manipulation policy or a directly evaluated VLA training/inference method.</x:v>
      </x:c>
      <x:c r="V8" s="85" t="str"/>
    </x:row>
    <x:row r="9" ht="61" customHeight="1">
      <x:c r="A9" s="85" t="str">
        <x:v>R008</x:v>
      </x:c>
      <x:c r="B9" s="85" t="str">
        <x:v>VLA</x:v>
      </x:c>
      <x:c r="C9" s="85" t="str">
        <x:v>ConRFT</x:v>
      </x:c>
      <x:c r="D9" s="91" t="n">
        <x:v>2025</x:v>
      </x:c>
      <x:c r="E9" s="85" t="str">
        <x:v>ConRFT: A Reinforced Fine-Tuning Method for VLA Models via Consistency Policy</x:v>
      </x:c>
      <x:c r="F9" s="85" t="str">
        <x:v>ConRFT fine-tunes VLA policies through offline and online reinforcement learning with a consistency-based objective. Human intervention during online learning supports adaptation to physical manipulation tasks.</x:v>
      </x:c>
      <x:c r="G9" s="92" t="str">
        <x:v>https://arxiv.org/abs/2502.05450</x:v>
      </x:c>
      <x:c r="H9" s="85" t="str">
        <x:v>Proposed include</x:v>
      </x:c>
      <x:c r="I9" s="93" t="str">
        <x:v>Include</x:v>
      </x:c>
      <x:c r="J9" s="85" t="str">
        <x:v>Paper</x:v>
      </x:c>
      <x:c r="K9" s="85" t="str">
        <x:v>VLA reinforcement-learning / preference method</x:v>
      </x:c>
      <x:c r="L9" s="85" t="str">
        <x:v>Post-training</x:v>
      </x:c>
      <x:c r="M9" s="85" t="str">
        <x:v>manipulation</x:v>
      </x:c>
      <x:c r="N9" s="85" t="str">
        <x:v>Current manuscript</x:v>
      </x:c>
      <x:c r="O9" s="85" t="str">
        <x:v>arXiv:2502.05450</x:v>
      </x:c>
      <x:c r="P9" s="85" t="str">
        <x:v>Prior primary-source check retained</x:v>
      </x:c>
      <x:c r="Q9" s="85" t="str"/>
      <x:c r="R9" s="85" t="str">
        <x:v>Established companion catalogue primary-source trace; not freshly rechecked this update.</x:v>
      </x:c>
      <x:c r="S9" s="85" t="str">
        <x:v>conrft</x:v>
      </x:c>
      <x:c r="T9" s="85" t="str">
        <x:v>Companion model catalogue; SectionIV</x:v>
      </x:c>
      <x:c r="U9" s="85" t="str">
        <x:v>Primary report proposes a visually and linguistically conditioned manipulation policy or a directly evaluated VLA training/inference method.</x:v>
      </x:c>
      <x:c r="V9" s="85" t="str"/>
    </x:row>
    <x:row r="10" ht="61" customHeight="1">
      <x:c r="A10" s="85" t="str">
        <x:v>R009</x:v>
      </x:c>
      <x:c r="B10" s="85" t="str">
        <x:v>VLA</x:v>
      </x:c>
      <x:c r="C10" s="85" t="str">
        <x:v>CoT-VLA</x:v>
      </x:c>
      <x:c r="D10" s="91" t="n">
        <x:v>2025</x:v>
      </x:c>
      <x:c r="E10" s="85" t="str">
        <x:v>CoT-VLA: Visual Chain-of-Thought Reasoning for Vision-Language-Action Models</x:v>
      </x:c>
      <x:c r="F10" s="85" t="str">
        <x:v>CoT-VLA predicts future images as intermediate visual goals before generating action sequences. This visual chain of thought links prediction to policy execution without itself establishing candidate-action search.</x:v>
      </x:c>
      <x:c r="G10" s="92" t="str">
        <x:v>https://arxiv.org/abs/2503.22020</x:v>
      </x:c>
      <x:c r="H10" s="85" t="str">
        <x:v>Proposed include</x:v>
      </x:c>
      <x:c r="I10" s="93" t="str">
        <x:v>Include</x:v>
      </x:c>
      <x:c r="J10" s="85" t="str">
        <x:v>Paper</x:v>
      </x:c>
      <x:c r="K10" s="85" t="str">
        <x:v>Predictive VLA policy</x:v>
      </x:c>
      <x:c r="L10" s="85" t="str">
        <x:v>WM / predictive-policy overlap</x:v>
      </x:c>
      <x:c r="M10" s="85" t="str">
        <x:v>manipulation</x:v>
      </x:c>
      <x:c r="N10" s="85" t="str">
        <x:v>Current manuscript</x:v>
      </x:c>
      <x:c r="O10" s="85" t="str">
        <x:v>arXiv:2503.22020</x:v>
      </x:c>
      <x:c r="P10" s="85" t="str">
        <x:v>Prior primary-source check retained</x:v>
      </x:c>
      <x:c r="Q10" s="85" t="str"/>
      <x:c r="R10" s="85" t="str">
        <x:v>Established companion catalogue primary-source trace; not freshly rechecked this update.</x:v>
      </x:c>
      <x:c r="S10" s="85" t="str">
        <x:v>cotvla</x:v>
      </x:c>
      <x:c r="T10" s="85" t="str">
        <x:v>Companion model catalogue; SectionIV; Table2/tab:vla-master; tab:vla-master</x:v>
      </x:c>
      <x:c r="U10" s="85" t="str">
        <x:v>Primary report proposes a visually and linguistically conditioned manipulation policy or a directly evaluated VLA training/inference method.</x:v>
      </x:c>
      <x:c r="V10" s="85" t="str">
        <x:v>One report only; predictive-policy secondary tag does not generate a second WM count.</x:v>
      </x:c>
    </x:row>
    <x:row r="11" ht="61" customHeight="1">
      <x:c r="A11" s="85" t="str">
        <x:v>R010</x:v>
      </x:c>
      <x:c r="B11" s="85" t="str">
        <x:v>VLA</x:v>
      </x:c>
      <x:c r="C11" s="85" t="str">
        <x:v>DeeR-VLA</x:v>
      </x:c>
      <x:c r="D11" s="91" t="n">
        <x:v>2024</x:v>
      </x:c>
      <x:c r="E11" s="85" t="str">
        <x:v>DeeR-VLA: Dynamic Inference of Multimodal Large Language Models for Efficient Robot Execution</x:v>
      </x:c>
      <x:c r="F11" s="85" t="str">
        <x:v>DeeR-VLA equips a multimodal policy backbone with multiple exits so that inference depth can vary with the current input. It links robot execution efficiency to adaptive computation rather than a fixed processing depth.</x:v>
      </x:c>
      <x:c r="G11" s="92" t="str">
        <x:v>https://arxiv.org/abs/2411.02359</x:v>
      </x:c>
      <x:c r="H11" s="85" t="str">
        <x:v>Proposed include</x:v>
      </x:c>
      <x:c r="I11" s="93" t="str">
        <x:v>Include</x:v>
      </x:c>
      <x:c r="J11" s="85" t="str">
        <x:v>Paper</x:v>
      </x:c>
      <x:c r="K11" s="85" t="str">
        <x:v>VLA training / inference method</x:v>
      </x:c>
      <x:c r="L11" s="85" t="str">
        <x:v>Efficiency</x:v>
      </x:c>
      <x:c r="M11" s="85" t="str">
        <x:v>manipulation</x:v>
      </x:c>
      <x:c r="N11" s="85" t="str">
        <x:v>Current manuscript</x:v>
      </x:c>
      <x:c r="O11" s="85" t="str">
        <x:v>arXiv:2411.02359</x:v>
      </x:c>
      <x:c r="P11" s="85" t="str">
        <x:v>Prior primary-source check retained</x:v>
      </x:c>
      <x:c r="Q11" s="85" t="str"/>
      <x:c r="R11" s="85" t="str">
        <x:v>Established companion catalogue primary-source trace; not freshly rechecked this update.</x:v>
      </x:c>
      <x:c r="S11" s="85" t="str">
        <x:v>deervla</x:v>
      </x:c>
      <x:c r="T11" s="85" t="str">
        <x:v>Companion model catalogue; SectionIV</x:v>
      </x:c>
      <x:c r="U11" s="85" t="str">
        <x:v>Primary report proposes a visually and linguistically conditioned manipulation policy or a directly evaluated VLA training/inference method.</x:v>
      </x:c>
      <x:c r="V11" s="85" t="str"/>
    </x:row>
    <x:row r="12" ht="61" customHeight="1">
      <x:c r="A12" s="85" t="str">
        <x:v>R011</x:v>
      </x:c>
      <x:c r="B12" s="85" t="str">
        <x:v>VLA</x:v>
      </x:c>
      <x:c r="C12" s="85" t="str">
        <x:v>DexVLA</x:v>
      </x:c>
      <x:c r="D12" s="91" t="n">
        <x:v>2025</x:v>
      </x:c>
      <x:c r="E12" s="85" t="str">
        <x:v>DexVLA: Vision-Language Model with Plug-In Diffusion Expert for General Robot Control</x:v>
      </x:c>
      <x:c r="F12" s="85" t="str">
        <x:v>DexVLA connects a vision-language backbone to a pretrained diffusion action expert. Its staged training adapts the action-generation component across tasks and robot embodiments.</x:v>
      </x:c>
      <x:c r="G12" s="92" t="str">
        <x:v>https://arxiv.org/abs/2502.05855</x:v>
      </x:c>
      <x:c r="H12" s="85" t="str">
        <x:v>Proposed include</x:v>
      </x:c>
      <x:c r="I12" s="93" t="str">
        <x:v>Include</x:v>
      </x:c>
      <x:c r="J12" s="85" t="str">
        <x:v>Paper</x:v>
      </x:c>
      <x:c r="K12" s="85" t="str">
        <x:v>VLA policy</x:v>
      </x:c>
      <x:c r="L12" s="85" t="str"/>
      <x:c r="M12" s="85" t="str">
        <x:v>manipulation</x:v>
      </x:c>
      <x:c r="N12" s="85" t="str">
        <x:v>Current manuscript</x:v>
      </x:c>
      <x:c r="O12" s="85" t="str">
        <x:v>arXiv:2502.05855</x:v>
      </x:c>
      <x:c r="P12" s="85" t="str">
        <x:v>Prior primary-source check retained</x:v>
      </x:c>
      <x:c r="Q12" s="85" t="str"/>
      <x:c r="R12" s="85" t="str">
        <x:v>Established companion catalogue primary-source trace; not freshly rechecked this update.</x:v>
      </x:c>
      <x:c r="S12" s="85" t="str">
        <x:v>dexvla</x:v>
      </x:c>
      <x:c r="T12" s="85" t="str">
        <x:v>Companion model catalogue; SectionIV</x:v>
      </x:c>
      <x:c r="U12" s="85" t="str">
        <x:v>Primary report proposes a visually and linguistically conditioned manipulation policy or a directly evaluated VLA training/inference method.</x:v>
      </x:c>
      <x:c r="V12" s="85" t="str"/>
    </x:row>
    <x:row r="13" ht="61" customHeight="1">
      <x:c r="A13" s="85" t="str">
        <x:v>R012</x:v>
      </x:c>
      <x:c r="B13" s="85" t="str">
        <x:v>VLA</x:v>
      </x:c>
      <x:c r="C13" s="85" t="str">
        <x:v>DiffusionVLA / DiVLA</x:v>
      </x:c>
      <x:c r="D13" s="91" t="n">
        <x:v>2024</x:v>
      </x:c>
      <x:c r="E13" s="85" t="str">
        <x:v>Diffusion-VLA: Generalizable and Interpretable Robot Foundation Model via Self-Generated Reasoning</x:v>
      </x:c>
      <x:c r="F13" s="85" t="str">
        <x:v>Combines autoregressive language reasoning with a diffusion module that generates robot actions. A reasoning-injection module connects generated explanations to control, with evaluation across real-robot sorting, grasping and instruction-following tasks.</x:v>
      </x:c>
      <x:c r="G13" s="92" t="str">
        <x:v>https://arxiv.org/abs/2412.03293</x:v>
      </x:c>
      <x:c r="H13" s="85" t="str">
        <x:v>Proposed include</x:v>
      </x:c>
      <x:c r="I13" s="93" t="str">
        <x:v>Include</x:v>
      </x:c>
      <x:c r="J13" s="85" t="str">
        <x:v>Paper</x:v>
      </x:c>
      <x:c r="K13" s="85" t="str">
        <x:v>Reasoning-conditioned diffusion VLA</x:v>
      </x:c>
      <x:c r="L13" s="85" t="str"/>
      <x:c r="M13" s="85" t="str">
        <x:v>manipulation</x:v>
      </x:c>
      <x:c r="N13" s="85" t="str">
        <x:v>Additional search</x:v>
      </x:c>
      <x:c r="O13" s="85" t="str">
        <x:v>arXiv:2412.03293</x:v>
      </x:c>
      <x:c r="P13" s="85" t="str">
        <x:v>Primary source checked this update</x:v>
      </x:c>
      <x:c r="Q13" s="85" t="str">
        <x:v>2026-10-01</x:v>
      </x:c>
      <x:c r="R13" s="85" t="str">
        <x:v>arXiv abstract, title and submission history; first-report year used.</x:v>
      </x:c>
      <x:c r="S13" s="85" t="str">
        <x:v>diffusionvla</x:v>
      </x:c>
      <x:c r="T13" s="85" t="str"/>
      <x:c r="U13" s="85" t="str">
        <x:v>Fresh primary-source search identifies an additional manipulation VLA report absent from the current bibliography and companion catalogue.</x:v>
      </x:c>
      <x:c r="V13" s="85" t="str">
        <x:v>Supplementary targeted search, not an exhaustive systematic search. </x:v>
      </x:c>
    </x:row>
    <x:row r="14" ht="61" customHeight="1">
      <x:c r="A14" s="85" t="str">
        <x:v>R013</x:v>
      </x:c>
      <x:c r="B14" s="85" t="str">
        <x:v>VLA</x:v>
      </x:c>
      <x:c r="C14" s="85" t="str">
        <x:v>Discrete Diffusion VLA</x:v>
      </x:c>
      <x:c r="D14" s="91" t="n">
        <x:v>2025</x:v>
      </x:c>
      <x:c r="E14" s="85" t="str">
        <x:v>Discrete Diffusion VLA: Bringing Discrete Diffusion to Action Decoding in Vision-Language-Action Policies</x:v>
      </x:c>
      <x:c r="F14" s="85" t="str">
        <x:v>Discrete Diffusion VLA generates discretized action chunks through iterative diffusion-style refinement within a shared transformer. It explores parallel action decoding as an alternative to sequential autoregressive generation.</x:v>
      </x:c>
      <x:c r="G14" s="92" t="str">
        <x:v>https://arxiv.org/abs/2508.20072</x:v>
      </x:c>
      <x:c r="H14" s="85" t="str">
        <x:v>Proposed include</x:v>
      </x:c>
      <x:c r="I14" s="93" t="str">
        <x:v>Include</x:v>
      </x:c>
      <x:c r="J14" s="85" t="str">
        <x:v>Paper</x:v>
      </x:c>
      <x:c r="K14" s="85" t="str">
        <x:v>VLA policy</x:v>
      </x:c>
      <x:c r="L14" s="85" t="str"/>
      <x:c r="M14" s="85" t="str">
        <x:v>manipulation</x:v>
      </x:c>
      <x:c r="N14" s="85" t="str">
        <x:v>Current manuscript</x:v>
      </x:c>
      <x:c r="O14" s="85" t="str">
        <x:v>arXiv:2508.20072</x:v>
      </x:c>
      <x:c r="P14" s="85" t="str">
        <x:v>Prior primary-source check retained</x:v>
      </x:c>
      <x:c r="Q14" s="85" t="str"/>
      <x:c r="R14" s="85" t="str">
        <x:v>Established companion catalogue primary-source trace; not freshly rechecked this update.</x:v>
      </x:c>
      <x:c r="S14" s="85" t="str">
        <x:v>ddvla</x:v>
      </x:c>
      <x:c r="T14" s="85" t="str">
        <x:v>Companion model catalogue; SectionIV</x:v>
      </x:c>
      <x:c r="U14" s="85" t="str">
        <x:v>Primary report proposes a visually and linguistically conditioned manipulation policy or a directly evaluated VLA training/inference method.</x:v>
      </x:c>
      <x:c r="V14" s="85" t="str"/>
    </x:row>
    <x:row r="15" ht="61" customHeight="1">
      <x:c r="A15" s="85" t="str">
        <x:v>R014</x:v>
      </x:c>
      <x:c r="B15" s="85" t="str">
        <x:v>VLA</x:v>
      </x:c>
      <x:c r="C15" s="85" t="str">
        <x:v>ECoT</x:v>
      </x:c>
      <x:c r="D15" s="91" t="n">
        <x:v>2024</x:v>
      </x:c>
      <x:c r="E15" s="85" t="str">
        <x:v>Robotic Control via Embodied Chain-of-Thought Reasoning</x:v>
      </x:c>
      <x:c r="F15" s="85" t="str">
        <x:v>Embodied Chain-of-Thought trains a VLA to generate intermediate plans and visually grounded reasoning before robot actions. The method studies whether explicit reasoning supervision improves control and instruction execution.</x:v>
      </x:c>
      <x:c r="G15" s="92" t="str">
        <x:v>https://arxiv.org/abs/2407.08693</x:v>
      </x:c>
      <x:c r="H15" s="85" t="str">
        <x:v>Proposed include</x:v>
      </x:c>
      <x:c r="I15" s="93" t="str">
        <x:v>Include</x:v>
      </x:c>
      <x:c r="J15" s="85" t="str">
        <x:v>Paper</x:v>
      </x:c>
      <x:c r="K15" s="85" t="str">
        <x:v>VLA policy</x:v>
      </x:c>
      <x:c r="L15" s="85" t="str"/>
      <x:c r="M15" s="85" t="str">
        <x:v>manipulation</x:v>
      </x:c>
      <x:c r="N15" s="85" t="str">
        <x:v>Current manuscript</x:v>
      </x:c>
      <x:c r="O15" s="85" t="str">
        <x:v>arXiv:2407.08693</x:v>
      </x:c>
      <x:c r="P15" s="85" t="str">
        <x:v>Prior primary-source check retained</x:v>
      </x:c>
      <x:c r="Q15" s="85" t="str"/>
      <x:c r="R15" s="85" t="str">
        <x:v>Established companion catalogue primary-source trace; not freshly rechecked this update.</x:v>
      </x:c>
      <x:c r="S15" s="85" t="str">
        <x:v>ecot</x:v>
      </x:c>
      <x:c r="T15" s="85" t="str">
        <x:v>Companion model catalogue; SectionIV; Table2/tab:vla-master; tab:vla-master</x:v>
      </x:c>
      <x:c r="U15" s="85" t="str">
        <x:v>Primary report proposes a visually and linguistically conditioned manipulation policy or a directly evaluated VLA training/inference method.</x:v>
      </x:c>
      <x:c r="V15" s="85" t="str"/>
    </x:row>
    <x:row r="16" ht="61" customHeight="1">
      <x:c r="A16" s="85" t="str">
        <x:v>R015</x:v>
      </x:c>
      <x:c r="B16" s="85" t="str">
        <x:v>VLA</x:v>
      </x:c>
      <x:c r="C16" s="85" t="str">
        <x:v>EdgeVLA / EVLA</x:v>
      </x:c>
      <x:c r="D16" s="91" t="n">
        <x:v>2025</x:v>
      </x:c>
      <x:c r="E16" s="85" t="str">
        <x:v>EdgeVLA: Efficient Vision-Language-Action Models for Edge Deployment</x:v>
      </x:c>
      <x:c r="F16" s="85" t="str">
        <x:v>EdgeVLA combines a smaller language backbone with non-autoregressive action prediction. It targets reduced inference and memory costs on resource-constrained robot hardware.</x:v>
      </x:c>
      <x:c r="G16" s="92" t="str">
        <x:v>https://arxiv.org/abs/2507.14049</x:v>
      </x:c>
      <x:c r="H16" s="85" t="str">
        <x:v>Proposed include</x:v>
      </x:c>
      <x:c r="I16" s="93" t="str">
        <x:v>Include</x:v>
      </x:c>
      <x:c r="J16" s="85" t="str">
        <x:v>Paper</x:v>
      </x:c>
      <x:c r="K16" s="85" t="str">
        <x:v>VLA policy</x:v>
      </x:c>
      <x:c r="L16" s="85" t="str"/>
      <x:c r="M16" s="85" t="str">
        <x:v>manipulation</x:v>
      </x:c>
      <x:c r="N16" s="85" t="str">
        <x:v>Current manuscript</x:v>
      </x:c>
      <x:c r="O16" s="85" t="str">
        <x:v>arXiv:2507.14049</x:v>
      </x:c>
      <x:c r="P16" s="85" t="str">
        <x:v>Prior primary-source check retained</x:v>
      </x:c>
      <x:c r="Q16" s="85" t="str"/>
      <x:c r="R16" s="85" t="str">
        <x:v>Established companion catalogue primary-source trace; not freshly rechecked this update.</x:v>
      </x:c>
      <x:c r="S16" s="85" t="str">
        <x:v>edgevla</x:v>
      </x:c>
      <x:c r="T16" s="85" t="str">
        <x:v>Companion model catalogue; SectionIV</x:v>
      </x:c>
      <x:c r="U16" s="85" t="str">
        <x:v>Primary report proposes a visually and linguistically conditioned manipulation policy or a directly evaluated VLA training/inference method.</x:v>
      </x:c>
      <x:c r="V16" s="85" t="str"/>
    </x:row>
    <x:row r="17" ht="61" customHeight="1">
      <x:c r="A17" s="85" t="str">
        <x:v>R016</x:v>
      </x:c>
      <x:c r="B17" s="85" t="str">
        <x:v>VLA</x:v>
      </x:c>
      <x:c r="C17" s="85" t="str">
        <x:v>EfficientVLA</x:v>
      </x:c>
      <x:c r="D17" s="91" t="n">
        <x:v>2025</x:v>
      </x:c>
      <x:c r="E17" s="85" t="str">
        <x:v>EfficientVLA: Training-Free Acceleration and Compression for Vision-Language-Action Models</x:v>
      </x:c>
      <x:c r="F17" s="85" t="str">
        <x:v>EfficientVLA accelerates existing policies through language-layer pruning, visual-token selection, and reuse of diffusion-head features. Its contribution is a training-free reduction of policy inference cost.</x:v>
      </x:c>
      <x:c r="G17" s="92" t="str">
        <x:v>https://arxiv.org/abs/2506.10100</x:v>
      </x:c>
      <x:c r="H17" s="85" t="str">
        <x:v>Proposed include</x:v>
      </x:c>
      <x:c r="I17" s="93" t="str">
        <x:v>Include</x:v>
      </x:c>
      <x:c r="J17" s="85" t="str">
        <x:v>Paper</x:v>
      </x:c>
      <x:c r="K17" s="85" t="str">
        <x:v>VLA training / inference method</x:v>
      </x:c>
      <x:c r="L17" s="85" t="str">
        <x:v>Efficiency</x:v>
      </x:c>
      <x:c r="M17" s="85" t="str">
        <x:v>manipulation</x:v>
      </x:c>
      <x:c r="N17" s="85" t="str">
        <x:v>Current manuscript</x:v>
      </x:c>
      <x:c r="O17" s="85" t="str">
        <x:v>arXiv:2506.10100</x:v>
      </x:c>
      <x:c r="P17" s="85" t="str">
        <x:v>Prior primary-source check retained</x:v>
      </x:c>
      <x:c r="Q17" s="85" t="str"/>
      <x:c r="R17" s="85" t="str">
        <x:v>Established companion catalogue primary-source trace; not freshly rechecked this update.</x:v>
      </x:c>
      <x:c r="S17" s="85" t="str">
        <x:v>efficientvla</x:v>
      </x:c>
      <x:c r="T17" s="85" t="str">
        <x:v>Companion model catalogue; SectionIV</x:v>
      </x:c>
      <x:c r="U17" s="85" t="str">
        <x:v>Primary report proposes a visually and linguistically conditioned manipulation policy or a directly evaluated VLA training/inference method.</x:v>
      </x:c>
      <x:c r="V17" s="85" t="str"/>
    </x:row>
    <x:row r="18" ht="61" customHeight="1">
      <x:c r="A18" s="85" t="str">
        <x:v>R017</x:v>
      </x:c>
      <x:c r="B18" s="85" t="str">
        <x:v>VLA</x:v>
      </x:c>
      <x:c r="C18" s="85" t="str">
        <x:v>FAST / π0-FAST</x:v>
      </x:c>
      <x:c r="D18" s="91" t="n">
        <x:v>2025</x:v>
      </x:c>
      <x:c r="E18" s="85" t="str">
        <x:v>FAST: Efficient Action Tokenization for Vision-Language-Action Models</x:v>
      </x:c>
      <x:c r="F18" s="85" t="str">
        <x:v>FAST compresses continuous action chunks into frequency-domain tokens for autoregressive prediction. The π0-FAST policy demonstrates how this representation can support action generation for dexterous control.</x:v>
      </x:c>
      <x:c r="G18" s="92" t="str">
        <x:v>https://arxiv.org/abs/2501.09747</x:v>
      </x:c>
      <x:c r="H18" s="85" t="str">
        <x:v>Proposed include</x:v>
      </x:c>
      <x:c r="I18" s="93" t="str">
        <x:v>Include</x:v>
      </x:c>
      <x:c r="J18" s="85" t="str">
        <x:v>Paper</x:v>
      </x:c>
      <x:c r="K18" s="85" t="str">
        <x:v>Action tokenization method with VLA policy variant</x:v>
      </x:c>
      <x:c r="L18" s="85" t="str"/>
      <x:c r="M18" s="85" t="str">
        <x:v>manipulation</x:v>
      </x:c>
      <x:c r="N18" s="85" t="str">
        <x:v>Current manuscript</x:v>
      </x:c>
      <x:c r="O18" s="85" t="str">
        <x:v>arXiv:2501.09747</x:v>
      </x:c>
      <x:c r="P18" s="85" t="str">
        <x:v>Prior primary-source check retained</x:v>
      </x:c>
      <x:c r="Q18" s="85" t="str"/>
      <x:c r="R18" s="85" t="str">
        <x:v>Established companion catalogue primary-source trace; not freshly rechecked this update.</x:v>
      </x:c>
      <x:c r="S18" s="85" t="str">
        <x:v>fast</x:v>
      </x:c>
      <x:c r="T18" s="85" t="str">
        <x:v>Companion model catalogue; SectionIV; Table2/tab:vla-master; tab:vla-master</x:v>
      </x:c>
      <x:c r="U18" s="85" t="str">
        <x:v>Primary report proposes a visually and linguistically conditioned manipulation policy or a directly evaluated VLA training/inference method.</x:v>
      </x:c>
      <x:c r="V18" s="85" t="str"/>
    </x:row>
    <x:row r="19" ht="69" customHeight="1">
      <x:c r="A19" s="85" t="str">
        <x:v>R018</x:v>
      </x:c>
      <x:c r="B19" s="85" t="str">
        <x:v>VLA</x:v>
      </x:c>
      <x:c r="C19" s="85" t="str">
        <x:v>FLaRe (RL fine-tuning)</x:v>
      </x:c>
      <x:c r="D19" s="91" t="n">
        <x:v>2024</x:v>
      </x:c>
      <x:c r="E19" s="85" t="str">
        <x:v>FLaRe: Achieving Masterful and Adaptive Robot Policies with Large-Scale Reinforcement Learning Fine-Tuning</x:v>
      </x:c>
      <x:c r="F19" s="85" t="str">
        <x:v>FLaRe uses large-scale reinforcement-learning fine-tuning to improve pretrained robot policies. It is distinct from FLARE, the separate method for aligning policy features with future latent representations.</x:v>
      </x:c>
      <x:c r="G19" s="92" t="str">
        <x:v>https://arxiv.org/abs/2409.16578</x:v>
      </x:c>
      <x:c r="H19" s="85" t="str">
        <x:v>Proposed include</x:v>
      </x:c>
      <x:c r="I19" s="93" t="str">
        <x:v>Include</x:v>
      </x:c>
      <x:c r="J19" s="85" t="str">
        <x:v>Paper</x:v>
      </x:c>
      <x:c r="K19" s="85" t="str">
        <x:v>VLA reinforcement-learning / preference method</x:v>
      </x:c>
      <x:c r="L19" s="85" t="str">
        <x:v>Post-training</x:v>
      </x:c>
      <x:c r="M19" s="85" t="str">
        <x:v>general robotics</x:v>
      </x:c>
      <x:c r="N19" s="85" t="str">
        <x:v>Current manuscript</x:v>
      </x:c>
      <x:c r="O19" s="85" t="str">
        <x:v>arXiv:2409.16578</x:v>
      </x:c>
      <x:c r="P19" s="85" t="str">
        <x:v>Primary source checked this update</x:v>
      </x:c>
      <x:c r="Q19" s="85" t="str">
        <x:v>2026-10-01</x:v>
      </x:c>
      <x:c r="R19" s="85" t="str">
        <x:v>Abstract and experiments: RL fine-tuning of embodied robot policies; mobile manipulation in simulation and on physical robots.</x:v>
      </x:c>
      <x:c r="S19" s="85" t="str">
        <x:v>flarerl</x:v>
      </x:c>
      <x:c r="T19" s="85" t="str">
        <x:v>Companion model catalogue; SectionIV; Table2/tab:vla-master; tab:vla-master</x:v>
      </x:c>
      <x:c r="U19" s="85" t="str">
        <x:v>Primary report proposes a visually and linguistically conditioned manipulation policy or a directly evaluated VLA training/inference method.</x:v>
      </x:c>
      <x:c r="V19" s="85" t="str">
        <x:v>Year uses first arXiv report (2024); existing reference uses publication year 2025. Simulated embodied tasks include navigation and manipulation; not exclusively physical robot manipulation. Year differs from the manuscript citation; register uses the documented source year.</x:v>
      </x:c>
    </x:row>
    <x:row r="20" ht="61" customHeight="1">
      <x:c r="A20" s="85" t="str">
        <x:v>R019</x:v>
      </x:c>
      <x:c r="B20" s="85" t="str">
        <x:v>VLA</x:v>
      </x:c>
      <x:c r="C20" s="85" t="str">
        <x:v>ForceVLA</x:v>
      </x:c>
      <x:c r="D20" s="91" t="n">
        <x:v>2025</x:v>
      </x:c>
      <x:c r="E20" s="85" t="str">
        <x:v>ForceVLA: Enhancing VLA Models with a Force-Aware MoE for Contact-Rich Manipulation</x:v>
      </x:c>
      <x:c r="F20" s="85" t="str">
        <x:v>ForceVLA integrates force-torque feedback with vision-language features through a force-aware mixture-of-experts module. It targets contact-rich manipulation where visual information alone may be insufficient.</x:v>
      </x:c>
      <x:c r="G20" s="92" t="str">
        <x:v>https://arxiv.org/abs/2505.22159</x:v>
      </x:c>
      <x:c r="H20" s="85" t="str">
        <x:v>Proposed include</x:v>
      </x:c>
      <x:c r="I20" s="93" t="str">
        <x:v>Include</x:v>
      </x:c>
      <x:c r="J20" s="85" t="str">
        <x:v>Paper</x:v>
      </x:c>
      <x:c r="K20" s="85" t="str">
        <x:v>VLA policy</x:v>
      </x:c>
      <x:c r="L20" s="85" t="str"/>
      <x:c r="M20" s="85" t="str">
        <x:v>manipulation</x:v>
      </x:c>
      <x:c r="N20" s="85" t="str">
        <x:v>Current manuscript</x:v>
      </x:c>
      <x:c r="O20" s="85" t="str">
        <x:v>arXiv:2505.22159</x:v>
      </x:c>
      <x:c r="P20" s="85" t="str">
        <x:v>Prior primary-source check retained</x:v>
      </x:c>
      <x:c r="Q20" s="85" t="str"/>
      <x:c r="R20" s="85" t="str">
        <x:v>Established companion catalogue primary-source trace; not freshly rechecked this update.</x:v>
      </x:c>
      <x:c r="S20" s="85" t="str">
        <x:v>forcevla</x:v>
      </x:c>
      <x:c r="T20" s="85" t="str">
        <x:v>Companion model catalogue; Other manuscript section</x:v>
      </x:c>
      <x:c r="U20" s="85" t="str">
        <x:v>Primary report proposes a visually and linguistically conditioned manipulation policy or a directly evaluated VLA training/inference method.</x:v>
      </x:c>
      <x:c r="V20" s="85" t="str"/>
    </x:row>
    <x:row r="21" ht="61" customHeight="1">
      <x:c r="A21" s="85" t="str">
        <x:v>R020</x:v>
      </x:c>
      <x:c r="B21" s="85" t="str">
        <x:v>VLA</x:v>
      </x:c>
      <x:c r="C21" s="85" t="str">
        <x:v>FP3 (language-conditioned 3D policy)</x:v>
      </x:c>
      <x:c r="D21" s="91" t="n">
        <x:v>2025</x:v>
      </x:c>
      <x:c r="E21" s="85" t="str">
        <x:v>FP3: A 3D Foundation Policy for Robotic Manipulation</x:v>
      </x:c>
      <x:c r="F21" s="85" t="str">
        <x:v>FP3 pretrains a diffusion-transformer manipulation policy using point clouds, proprioception, and CLIP-encoded instructions. It adapts this language-conditioned three-dimensional policy to downstream tasks.</x:v>
      </x:c>
      <x:c r="G21" s="92" t="str">
        <x:v>https://arxiv.org/abs/2503.08950</x:v>
      </x:c>
      <x:c r="H21" s="85" t="str">
        <x:v>Proposed include</x:v>
      </x:c>
      <x:c r="I21" s="93" t="str">
        <x:v>Include</x:v>
      </x:c>
      <x:c r="J21" s="85" t="str">
        <x:v>Paper</x:v>
      </x:c>
      <x:c r="K21" s="85" t="str">
        <x:v>Language-conditioned spatial manipulation policy</x:v>
      </x:c>
      <x:c r="L21" s="85" t="str"/>
      <x:c r="M21" s="85" t="str">
        <x:v>manipulation</x:v>
      </x:c>
      <x:c r="N21" s="85" t="str">
        <x:v>Current manuscript</x:v>
      </x:c>
      <x:c r="O21" s="85" t="str">
        <x:v>arXiv:2503.08950</x:v>
      </x:c>
      <x:c r="P21" s="85" t="str">
        <x:v>Primary source checked this update</x:v>
      </x:c>
      <x:c r="Q21" s="85" t="str">
        <x:v>2026-10-01</x:v>
      </x:c>
      <x:c r="R21" s="85" t="str">
        <x:v>Figure2 and SectionIII-A: point clouds, CLIP language embeddings and proprioception condition denoised action chunks.</x:v>
      </x:c>
      <x:c r="S21" s="85" t="str">
        <x:v>fp3</x:v>
      </x:c>
      <x:c r="T21" s="85" t="str">
        <x:v>Companion model catalogue; SectionIV; Table2/tab:vla-master; tab:vla-master</x:v>
      </x:c>
      <x:c r="U21" s="85" t="str">
        <x:v>Primary report proposes a visually and linguistically conditioned manipulation policy or a directly evaluated VLA training/inference method.</x:v>
      </x:c>
      <x:c r="V21" s="85" t="str"/>
    </x:row>
    <x:row r="22" ht="61" customHeight="1">
      <x:c r="A22" s="85" t="str">
        <x:v>R021</x:v>
      </x:c>
      <x:c r="B22" s="85" t="str">
        <x:v>VLA</x:v>
      </x:c>
      <x:c r="C22" s="85" t="str">
        <x:v>Gemini Robotics</x:v>
      </x:c>
      <x:c r="D22" s="91" t="n">
        <x:v>2025</x:v>
      </x:c>
      <x:c r="E22" s="85" t="str">
        <x:v>Gemini Robotics: Bringing AI into the Physical World</x:v>
      </x:c>
      <x:c r="F22" s="85" t="str">
        <x:v>Gemini Robotics extends a Gemini vision-language model to generate robot actions from observations and instructions. The developer-reported study examines manipulation capabilities and transfer across embodiments.</x:v>
      </x:c>
      <x:c r="G22" s="92" t="str">
        <x:v>https://arxiv.org/abs/2503.20020</x:v>
      </x:c>
      <x:c r="H22" s="85" t="str">
        <x:v>Proposed include</x:v>
      </x:c>
      <x:c r="I22" s="93" t="str">
        <x:v>Include</x:v>
      </x:c>
      <x:c r="J22" s="85" t="str">
        <x:v>Paper</x:v>
      </x:c>
      <x:c r="K22" s="85" t="str">
        <x:v>VLA policy</x:v>
      </x:c>
      <x:c r="L22" s="85" t="str"/>
      <x:c r="M22" s="85" t="str">
        <x:v>general robotics</x:v>
      </x:c>
      <x:c r="N22" s="85" t="str">
        <x:v>Current manuscript</x:v>
      </x:c>
      <x:c r="O22" s="85" t="str">
        <x:v>arXiv:2503.20020</x:v>
      </x:c>
      <x:c r="P22" s="85" t="str">
        <x:v>Prior primary-source check retained</x:v>
      </x:c>
      <x:c r="Q22" s="85" t="str"/>
      <x:c r="R22" s="85" t="str">
        <x:v>Established companion catalogue primary-source trace; not freshly rechecked this update.</x:v>
      </x:c>
      <x:c r="S22" s="85" t="str">
        <x:v>geminirobotics</x:v>
      </x:c>
      <x:c r="T22" s="85" t="str">
        <x:v>Companion model catalogue; SectionIV; Table2/tab:vla-master; tab:vla-master</x:v>
      </x:c>
      <x:c r="U22" s="85" t="str">
        <x:v>Primary report proposes a visually and linguistically conditioned manipulation policy or a directly evaluated VLA training/inference method.</x:v>
      </x:c>
      <x:c r="V22" s="85" t="str">
        <x:v>Research paper retained despite vendor-origin evaluation; vendor reporting alone is not a non-paper classification.</x:v>
      </x:c>
    </x:row>
    <x:row r="23" ht="61" customHeight="1">
      <x:c r="A23" s="85" t="str">
        <x:v>R022</x:v>
      </x:c>
      <x:c r="B23" s="85" t="str">
        <x:v>VLA</x:v>
      </x:c>
      <x:c r="C23" s="85" t="str">
        <x:v>Gemini Robotics 1.5</x:v>
      </x:c>
      <x:c r="D23" s="91" t="n">
        <x:v>2025</x:v>
      </x:c>
      <x:c r="E23" s="85" t="str">
        <x:v>Gemini Robotics 1.5: Pushing the Frontier of Generalist Robots with Advanced Embodied Reasoning, Thinking, and Motion Transfer</x:v>
      </x:c>
      <x:c r="F23" s="85" t="str">
        <x:v>Gemini Robotics 1.5 integrates embodied reasoning with action generation in a multi-embodiment policy. The developer report also describes transferring motion knowledge across robot configurations.</x:v>
      </x:c>
      <x:c r="G23" s="92" t="str">
        <x:v>https://arxiv.org/abs/2510.03342</x:v>
      </x:c>
      <x:c r="H23" s="85" t="str">
        <x:v>Proposed include</x:v>
      </x:c>
      <x:c r="I23" s="93" t="str">
        <x:v>Include</x:v>
      </x:c>
      <x:c r="J23" s="85" t="str">
        <x:v>Paper</x:v>
      </x:c>
      <x:c r="K23" s="85" t="str">
        <x:v>VLA policy</x:v>
      </x:c>
      <x:c r="L23" s="85" t="str"/>
      <x:c r="M23" s="85" t="str">
        <x:v>general robotics</x:v>
      </x:c>
      <x:c r="N23" s="85" t="str">
        <x:v>Current manuscript</x:v>
      </x:c>
      <x:c r="O23" s="85" t="str">
        <x:v>arXiv:2510.03342</x:v>
      </x:c>
      <x:c r="P23" s="85" t="str">
        <x:v>Prior primary-source check retained</x:v>
      </x:c>
      <x:c r="Q23" s="85" t="str"/>
      <x:c r="R23" s="85" t="str">
        <x:v>Established companion catalogue primary-source trace; not freshly rechecked this update.</x:v>
      </x:c>
      <x:c r="S23" s="85" t="str">
        <x:v>gemini15</x:v>
      </x:c>
      <x:c r="T23" s="85" t="str">
        <x:v>Companion model catalogue; SectionIV; Table2/tab:vla-master; tab:vla-master</x:v>
      </x:c>
      <x:c r="U23" s="85" t="str">
        <x:v>Primary report proposes a visually and linguistically conditioned manipulation policy or a directly evaluated VLA training/inference method.</x:v>
      </x:c>
      <x:c r="V23" s="85" t="str">
        <x:v>Research paper retained despite vendor-origin evaluation; vendor reporting alone is not a non-paper classification.</x:v>
      </x:c>
    </x:row>
    <x:row r="24" ht="61" customHeight="1">
      <x:c r="A24" s="85" t="str">
        <x:v>R023</x:v>
      </x:c>
      <x:c r="B24" s="85" t="str">
        <x:v>VLA</x:v>
      </x:c>
      <x:c r="C24" s="85" t="str">
        <x:v>GeoVLA</x:v>
      </x:c>
      <x:c r="D24" s="91" t="n">
        <x:v>2025</x:v>
      </x:c>
      <x:c r="E24" s="85" t="str">
        <x:v>GeoVLA: Empowering 3D Representations in Vision-Language-Action Models</x:v>
      </x:c>
      <x:c r="F24" s="85" t="str">
        <x:v>GeoVLA fuses image-language representations with point-cloud geometry in an action expert. This spatial interface supplies three-dimensional context for language-conditioned manipulation.</x:v>
      </x:c>
      <x:c r="G24" s="92" t="str">
        <x:v>https://arxiv.org/abs/2508.09071</x:v>
      </x:c>
      <x:c r="H24" s="85" t="str">
        <x:v>Proposed include</x:v>
      </x:c>
      <x:c r="I24" s="93" t="str">
        <x:v>Include</x:v>
      </x:c>
      <x:c r="J24" s="85" t="str">
        <x:v>Paper</x:v>
      </x:c>
      <x:c r="K24" s="85" t="str">
        <x:v>Language-conditioned spatial manipulation policy</x:v>
      </x:c>
      <x:c r="L24" s="85" t="str"/>
      <x:c r="M24" s="85" t="str">
        <x:v>manipulation</x:v>
      </x:c>
      <x:c r="N24" s="85" t="str">
        <x:v>Current manuscript</x:v>
      </x:c>
      <x:c r="O24" s="85" t="str">
        <x:v>arXiv:2508.09071</x:v>
      </x:c>
      <x:c r="P24" s="85" t="str">
        <x:v>Prior primary-source check retained</x:v>
      </x:c>
      <x:c r="Q24" s="85" t="str"/>
      <x:c r="R24" s="85" t="str">
        <x:v>Established companion catalogue primary-source trace; not freshly rechecked this update.</x:v>
      </x:c>
      <x:c r="S24" s="85" t="str">
        <x:v>geovla</x:v>
      </x:c>
      <x:c r="T24" s="85" t="str">
        <x:v>Companion model catalogue; SectionIV</x:v>
      </x:c>
      <x:c r="U24" s="85" t="str">
        <x:v>Primary report proposes a visually and linguistically conditioned manipulation policy or a directly evaluated VLA training/inference method.</x:v>
      </x:c>
      <x:c r="V24" s="85" t="str"/>
    </x:row>
    <x:row r="25" ht="61" customHeight="1">
      <x:c r="A25" s="85" t="str">
        <x:v>R024</x:v>
      </x:c>
      <x:c r="B25" s="85" t="str">
        <x:v>VLA</x:v>
      </x:c>
      <x:c r="C25" s="85" t="str">
        <x:v>GR-2</x:v>
      </x:c>
      <x:c r="D25" s="91" t="n">
        <x:v>2024</x:v>
      </x:c>
      <x:c r="E25" s="85" t="str">
        <x:v>GR-2: A Generative Video-Language-Action Model with Web-Scale Knowledge for Robot Manipulation</x:v>
      </x:c>
      <x:c r="F25" s="85" t="str">
        <x:v>GR-2 combines large-scale video pretraining with joint video and action learning for robotic manipulation. Its predictive-policy formulation connects visual knowledge from web video to robot trajectories.</x:v>
      </x:c>
      <x:c r="G25" s="92" t="str">
        <x:v>https://arxiv.org/abs/2410.06158</x:v>
      </x:c>
      <x:c r="H25" s="85" t="str">
        <x:v>Proposed include</x:v>
      </x:c>
      <x:c r="I25" s="93" t="str">
        <x:v>Include</x:v>
      </x:c>
      <x:c r="J25" s="85" t="str">
        <x:v>Paper</x:v>
      </x:c>
      <x:c r="K25" s="85" t="str">
        <x:v>Predictive VLA policy</x:v>
      </x:c>
      <x:c r="L25" s="85" t="str">
        <x:v>WM / predictive-policy overlap</x:v>
      </x:c>
      <x:c r="M25" s="85" t="str">
        <x:v>manipulation</x:v>
      </x:c>
      <x:c r="N25" s="85" t="str">
        <x:v>Current manuscript</x:v>
      </x:c>
      <x:c r="O25" s="85" t="str">
        <x:v>arXiv:2410.06158</x:v>
      </x:c>
      <x:c r="P25" s="85" t="str">
        <x:v>Prior primary-source check retained</x:v>
      </x:c>
      <x:c r="Q25" s="85" t="str"/>
      <x:c r="R25" s="85" t="str">
        <x:v>Established companion catalogue primary-source trace; not freshly rechecked this update.</x:v>
      </x:c>
      <x:c r="S25" s="85" t="str">
        <x:v>gr2</x:v>
      </x:c>
      <x:c r="T25" s="85" t="str">
        <x:v>Companion model catalogue; SectionIV; Table2/tab:vla-master; tab:vla-master</x:v>
      </x:c>
      <x:c r="U25" s="85" t="str">
        <x:v>Primary report proposes a visually and linguistically conditioned manipulation policy or a directly evaluated VLA training/inference method.</x:v>
      </x:c>
      <x:c r="V25" s="85" t="str">
        <x:v>One report only; predictive-policy secondary tag does not generate a second WM count. Research paper retained despite vendor-origin evaluation; vendor reporting alone is not a non-paper classification.</x:v>
      </x:c>
    </x:row>
    <x:row r="26" ht="61" customHeight="1">
      <x:c r="A26" s="85" t="str">
        <x:v>R025</x:v>
      </x:c>
      <x:c r="B26" s="85" t="str">
        <x:v>VLA</x:v>
      </x:c>
      <x:c r="C26" s="85" t="str">
        <x:v>GR00T N1</x:v>
      </x:c>
      <x:c r="D26" s="91" t="n">
        <x:v>2025</x:v>
      </x:c>
      <x:c r="E26" s="85" t="str">
        <x:v>GR00T N1: An Open Foundation Model for Generalist Humanoid Robots</x:v>
      </x:c>
      <x:c r="F26" s="85" t="str">
        <x:v>GR00T N1 combines vision-language interpretation with diffusion-based action generation for humanoid robots. Its dual-system design connects slower semantic processing with continuous control.</x:v>
      </x:c>
      <x:c r="G26" s="92" t="str">
        <x:v>https://arxiv.org/abs/2503.14734</x:v>
      </x:c>
      <x:c r="H26" s="85" t="str">
        <x:v>Proposed include</x:v>
      </x:c>
      <x:c r="I26" s="93" t="str">
        <x:v>Include</x:v>
      </x:c>
      <x:c r="J26" s="85" t="str">
        <x:v>Paper</x:v>
      </x:c>
      <x:c r="K26" s="85" t="str">
        <x:v>VLA policy</x:v>
      </x:c>
      <x:c r="L26" s="85" t="str"/>
      <x:c r="M26" s="85" t="str">
        <x:v>general robotics</x:v>
      </x:c>
      <x:c r="N26" s="85" t="str">
        <x:v>Current manuscript</x:v>
      </x:c>
      <x:c r="O26" s="85" t="str">
        <x:v>arXiv:2503.14734</x:v>
      </x:c>
      <x:c r="P26" s="85" t="str">
        <x:v>Prior primary-source check retained</x:v>
      </x:c>
      <x:c r="Q26" s="85" t="str"/>
      <x:c r="R26" s="85" t="str">
        <x:v>Established companion catalogue primary-source trace; not freshly rechecked this update.</x:v>
      </x:c>
      <x:c r="S26" s="85" t="str">
        <x:v>groot</x:v>
      </x:c>
      <x:c r="T26" s="85" t="str">
        <x:v>Companion model catalogue; SectionIV; Table2/tab:vla-master; tab:vla-master</x:v>
      </x:c>
      <x:c r="U26" s="85" t="str">
        <x:v>Primary report proposes a visually and linguistically conditioned manipulation policy or a directly evaluated VLA training/inference method.</x:v>
      </x:c>
      <x:c r="V26" s="85" t="str"/>
    </x:row>
    <x:row r="27" ht="61" customHeight="1">
      <x:c r="A27" s="85" t="str">
        <x:v>R026</x:v>
      </x:c>
      <x:c r="B27" s="85" t="str">
        <x:v>VLA</x:v>
      </x:c>
      <x:c r="C27" s="85" t="str">
        <x:v>GRAPE</x:v>
      </x:c>
      <x:c r="D27" s="91" t="n">
        <x:v>2024</x:v>
      </x:c>
      <x:c r="E27" s="85" t="str">
        <x:v>GRAPE: Generalizing Robot Policy via Preference Alignment</x:v>
      </x:c>
      <x:c r="F27" s="85" t="str">
        <x:v>GRAPE aligns robot policies using trajectory preferences derived from successful and unsuccessful behavior. Task-specific spatial and temporal constraints guide the preference-based training signal.</x:v>
      </x:c>
      <x:c r="G27" s="92" t="str">
        <x:v>https://arxiv.org/abs/2411.19309</x:v>
      </x:c>
      <x:c r="H27" s="85" t="str">
        <x:v>Proposed include</x:v>
      </x:c>
      <x:c r="I27" s="93" t="str">
        <x:v>Include</x:v>
      </x:c>
      <x:c r="J27" s="85" t="str">
        <x:v>Paper</x:v>
      </x:c>
      <x:c r="K27" s="85" t="str">
        <x:v>VLA reinforcement-learning / preference method</x:v>
      </x:c>
      <x:c r="L27" s="85" t="str">
        <x:v>Post-training</x:v>
      </x:c>
      <x:c r="M27" s="85" t="str">
        <x:v>manipulation</x:v>
      </x:c>
      <x:c r="N27" s="85" t="str">
        <x:v>Current manuscript</x:v>
      </x:c>
      <x:c r="O27" s="85" t="str">
        <x:v>arXiv:2411.19309</x:v>
      </x:c>
      <x:c r="P27" s="85" t="str">
        <x:v>Primary source checked this update</x:v>
      </x:c>
      <x:c r="Q27" s="85" t="str">
        <x:v>2026-10-01</x:v>
      </x:c>
      <x:c r="R27" s="85" t="str">
        <x:v>Abstract: trajectory preferences and constraints align VLA policies.</x:v>
      </x:c>
      <x:c r="S27" s="85" t="str">
        <x:v>grape</x:v>
      </x:c>
      <x:c r="T27" s="85" t="str">
        <x:v>Companion model catalogue; SectionIV</x:v>
      </x:c>
      <x:c r="U27" s="85" t="str">
        <x:v>Primary report proposes a visually and linguistically conditioned manipulation policy or a directly evaluated VLA training/inference method.</x:v>
      </x:c>
      <x:c r="V27" s="85" t="str"/>
    </x:row>
    <x:row r="28" ht="61" customHeight="1">
      <x:c r="A28" s="85" t="str">
        <x:v>R027</x:v>
      </x:c>
      <x:c r="B28" s="85" t="str">
        <x:v>VLA</x:v>
      </x:c>
      <x:c r="C28" s="85" t="str">
        <x:v>GraspVLA</x:v>
      </x:c>
      <x:c r="D28" s="91" t="n">
        <x:v>2025</x:v>
      </x:c>
      <x:c r="E28" s="85" t="str">
        <x:v>GraspVLA: A Grasping Foundation Model Pre-Trained on Billion-Scale Synthetic Action Data</x:v>
      </x:c>
      <x:c r="F28" s="85" t="str">
        <x:v>GraspVLA combines autoregressive perception with flow-matching action generation for grasping. Its training integrates synthetic robot data with semantic pretraining to support generalizable grasp behavior.</x:v>
      </x:c>
      <x:c r="G28" s="92" t="str">
        <x:v>https://arxiv.org/abs/2505.03233</x:v>
      </x:c>
      <x:c r="H28" s="85" t="str">
        <x:v>Proposed include</x:v>
      </x:c>
      <x:c r="I28" s="93" t="str">
        <x:v>Include</x:v>
      </x:c>
      <x:c r="J28" s="85" t="str">
        <x:v>Paper</x:v>
      </x:c>
      <x:c r="K28" s="85" t="str">
        <x:v>Language-conditioned spatial manipulation policy</x:v>
      </x:c>
      <x:c r="L28" s="85" t="str"/>
      <x:c r="M28" s="85" t="str">
        <x:v>manipulation</x:v>
      </x:c>
      <x:c r="N28" s="85" t="str">
        <x:v>Current manuscript</x:v>
      </x:c>
      <x:c r="O28" s="85" t="str">
        <x:v>arXiv:2505.03233</x:v>
      </x:c>
      <x:c r="P28" s="85" t="str">
        <x:v>Prior primary-source check retained</x:v>
      </x:c>
      <x:c r="Q28" s="85" t="str"/>
      <x:c r="R28" s="85" t="str">
        <x:v>Established companion catalogue primary-source trace; not freshly rechecked this update.</x:v>
      </x:c>
      <x:c r="S28" s="85" t="str">
        <x:v>graspvla</x:v>
      </x:c>
      <x:c r="T28" s="85" t="str">
        <x:v>Companion model catalogue; SectionIV; Table2/tab:vla-master; tab:vla-master</x:v>
      </x:c>
      <x:c r="U28" s="85" t="str">
        <x:v>Primary report proposes a visually and linguistically conditioned manipulation policy or a directly evaluated VLA training/inference method.</x:v>
      </x:c>
      <x:c r="V28" s="85" t="str"/>
    </x:row>
    <x:row r="29" ht="61" customHeight="1">
      <x:c r="A29" s="85" t="str">
        <x:v>R028</x:v>
      </x:c>
      <x:c r="B29" s="85" t="str">
        <x:v>VLA</x:v>
      </x:c>
      <x:c r="C29" s="85" t="str">
        <x:v>Hi Robot</x:v>
      </x:c>
      <x:c r="D29" s="91" t="n">
        <x:v>2025</x:v>
      </x:c>
      <x:c r="E29" s="85" t="str">
        <x:v>Hi Robot: Open-Ended Instruction Following with Hierarchical Vision-Language-Action Models</x:v>
      </x:c>
      <x:c r="F29" s="85" t="str">
        <x:v>Hi Robot uses hierarchical vision-language-action policies to interpret complex instructions and user feedback. A lower-level controller executes the manipulation steps selected by the higher-level reasoning component.</x:v>
      </x:c>
      <x:c r="G29" s="92" t="str">
        <x:v>https://arxiv.org/abs/2502.19417</x:v>
      </x:c>
      <x:c r="H29" s="85" t="str">
        <x:v>Proposed include</x:v>
      </x:c>
      <x:c r="I29" s="93" t="str">
        <x:v>Include</x:v>
      </x:c>
      <x:c r="J29" s="85" t="str">
        <x:v>Paper</x:v>
      </x:c>
      <x:c r="K29" s="85" t="str">
        <x:v>VLA policy</x:v>
      </x:c>
      <x:c r="L29" s="85" t="str"/>
      <x:c r="M29" s="85" t="str">
        <x:v>manipulation</x:v>
      </x:c>
      <x:c r="N29" s="85" t="str">
        <x:v>Current manuscript</x:v>
      </x:c>
      <x:c r="O29" s="85" t="str">
        <x:v>arXiv:2502.19417</x:v>
      </x:c>
      <x:c r="P29" s="85" t="str">
        <x:v>Prior primary-source check retained</x:v>
      </x:c>
      <x:c r="Q29" s="85" t="str"/>
      <x:c r="R29" s="85" t="str">
        <x:v>Established companion catalogue primary-source trace; not freshly rechecked this update.</x:v>
      </x:c>
      <x:c r="S29" s="85" t="str">
        <x:v>hirobot</x:v>
      </x:c>
      <x:c r="T29" s="85" t="str">
        <x:v>Companion model catalogue; SectionIV; Table2/tab:vla-master; tab:vla-master</x:v>
      </x:c>
      <x:c r="U29" s="85" t="str">
        <x:v>Primary report proposes a visually and linguistically conditioned manipulation policy or a directly evaluated VLA training/inference method.</x:v>
      </x:c>
      <x:c r="V29" s="85" t="str"/>
    </x:row>
    <x:row r="30" ht="61" customHeight="1">
      <x:c r="A30" s="85" t="str">
        <x:v>R029</x:v>
      </x:c>
      <x:c r="B30" s="85" t="str">
        <x:v>VLA</x:v>
      </x:c>
      <x:c r="C30" s="85" t="str">
        <x:v>iRe-VLA</x:v>
      </x:c>
      <x:c r="D30" s="91" t="n">
        <x:v>2025</x:v>
      </x:c>
      <x:c r="E30" s="85" t="str">
        <x:v>Improving Vision-Language-Action Model with Online Reinforcement Learning</x:v>
      </x:c>
      <x:c r="F30" s="85" t="str">
        <x:v>iRe-VLA alternates reinforcement-learning improvement with supervised learning. This alternating procedure aims to stabilize interactive adaptation of pretrained VLA policies.</x:v>
      </x:c>
      <x:c r="G30" s="92" t="str">
        <x:v>https://arxiv.org/abs/2501.16664</x:v>
      </x:c>
      <x:c r="H30" s="85" t="str">
        <x:v>Proposed include</x:v>
      </x:c>
      <x:c r="I30" s="93" t="str">
        <x:v>Include</x:v>
      </x:c>
      <x:c r="J30" s="85" t="str">
        <x:v>Paper</x:v>
      </x:c>
      <x:c r="K30" s="85" t="str">
        <x:v>VLA reinforcement-learning / preference method</x:v>
      </x:c>
      <x:c r="L30" s="85" t="str">
        <x:v>Post-training</x:v>
      </x:c>
      <x:c r="M30" s="85" t="str">
        <x:v>manipulation</x:v>
      </x:c>
      <x:c r="N30" s="85" t="str">
        <x:v>Current manuscript</x:v>
      </x:c>
      <x:c r="O30" s="85" t="str">
        <x:v>arXiv:2501.16664</x:v>
      </x:c>
      <x:c r="P30" s="85" t="str">
        <x:v>Prior primary-source check retained</x:v>
      </x:c>
      <x:c r="Q30" s="85" t="str"/>
      <x:c r="R30" s="85" t="str">
        <x:v>Established companion catalogue primary-source trace; not freshly rechecked this update.</x:v>
      </x:c>
      <x:c r="S30" s="85" t="str">
        <x:v>irevla</x:v>
      </x:c>
      <x:c r="T30" s="85" t="str">
        <x:v>Companion model catalogue; SectionIV</x:v>
      </x:c>
      <x:c r="U30" s="85" t="str">
        <x:v>Primary report proposes a visually and linguistically conditioned manipulation policy or a directly evaluated VLA training/inference method.</x:v>
      </x:c>
      <x:c r="V30" s="85" t="str"/>
    </x:row>
    <x:row r="31" ht="61" customHeight="1">
      <x:c r="A31" s="85" t="str">
        <x:v>R030</x:v>
      </x:c>
      <x:c r="B31" s="85" t="str">
        <x:v>VLA</x:v>
      </x:c>
      <x:c r="C31" s="85" t="str">
        <x:v>LAPA</x:v>
      </x:c>
      <x:c r="D31" s="91" t="n">
        <x:v>2024</x:v>
      </x:c>
      <x:c r="E31" s="85" t="str">
        <x:v>Latent Action Pretraining from Videos</x:v>
      </x:c>
      <x:c r="F31" s="85" t="str">
        <x:v>LAPA learns latent action representations from video without ground-truth action labels during pretraining. Robot data subsequently maps the pretrained policy into executable robot actions.</x:v>
      </x:c>
      <x:c r="G31" s="92" t="str">
        <x:v>https://arxiv.org/abs/2410.11758</x:v>
      </x:c>
      <x:c r="H31" s="85" t="str">
        <x:v>Proposed include</x:v>
      </x:c>
      <x:c r="I31" s="93" t="str">
        <x:v>Include</x:v>
      </x:c>
      <x:c r="J31" s="85" t="str">
        <x:v>Paper</x:v>
      </x:c>
      <x:c r="K31" s="85" t="str">
        <x:v>VLA policy</x:v>
      </x:c>
      <x:c r="L31" s="85" t="str"/>
      <x:c r="M31" s="85" t="str">
        <x:v>manipulation</x:v>
      </x:c>
      <x:c r="N31" s="85" t="str">
        <x:v>Current manuscript</x:v>
      </x:c>
      <x:c r="O31" s="85" t="str">
        <x:v>arXiv:2410.11758</x:v>
      </x:c>
      <x:c r="P31" s="85" t="str">
        <x:v>Prior primary-source check retained</x:v>
      </x:c>
      <x:c r="Q31" s="85" t="str"/>
      <x:c r="R31" s="85" t="str">
        <x:v>Established companion catalogue primary-source trace; not freshly rechecked this update.</x:v>
      </x:c>
      <x:c r="S31" s="85" t="str">
        <x:v>lapa</x:v>
      </x:c>
      <x:c r="T31" s="85" t="str">
        <x:v>Companion model catalogue; SectionIV</x:v>
      </x:c>
      <x:c r="U31" s="85" t="str">
        <x:v>Primary report proposes a visually and linguistically conditioned manipulation policy or a directly evaluated VLA training/inference method.</x:v>
      </x:c>
      <x:c r="V31" s="85" t="str">
        <x:v>Year uses first arXiv report (2024); existing reference uses publication year 2025. Year differs from the manuscript citation; register uses the documented source year.</x:v>
      </x:c>
    </x:row>
    <x:row r="32" ht="61" customHeight="1">
      <x:c r="A32" s="85" t="str">
        <x:v>R031</x:v>
      </x:c>
      <x:c r="B32" s="85" t="str">
        <x:v>VLA</x:v>
      </x:c>
      <x:c r="C32" s="85" t="str">
        <x:v>LingBot-VLA</x:v>
      </x:c>
      <x:c r="D32" s="91" t="n">
        <x:v>2026</x:v>
      </x:c>
      <x:c r="E32" s="85" t="str">
        <x:v>A Pragmatic VLA Foundation Model</x:v>
      </x:c>
      <x:c r="F32" s="85" t="str">
        <x:v>Trains a generalist VLA on real-world demonstrations from multiple dual-arm robot configurations. The study evaluates cross-platform manipulation and introduces an efficient training implementation and GM-100 evaluation data.</x:v>
      </x:c>
      <x:c r="G32" s="92" t="str">
        <x:v>https://arxiv.org/abs/2601.18692</x:v>
      </x:c>
      <x:c r="H32" s="85" t="str">
        <x:v>Proposed include</x:v>
      </x:c>
      <x:c r="I32" s="93" t="str">
        <x:v>Include</x:v>
      </x:c>
      <x:c r="J32" s="85" t="str">
        <x:v>Paper</x:v>
      </x:c>
      <x:c r="K32" s="85" t="str">
        <x:v>Cross-embodiment VLA foundation policy</x:v>
      </x:c>
      <x:c r="L32" s="85" t="str">
        <x:v>Dataset / benchmark contribution</x:v>
      </x:c>
      <x:c r="M32" s="85" t="str">
        <x:v>manipulation</x:v>
      </x:c>
      <x:c r="N32" s="85" t="str">
        <x:v>Additional search</x:v>
      </x:c>
      <x:c r="O32" s="85" t="str">
        <x:v>arXiv:2601.18692</x:v>
      </x:c>
      <x:c r="P32" s="85" t="str">
        <x:v>Primary source checked this update</x:v>
      </x:c>
      <x:c r="Q32" s="85" t="str">
        <x:v>2026-10-01</x:v>
      </x:c>
      <x:c r="R32" s="85" t="str">
        <x:v>arXiv abstract, title and submission history; first-report year used.</x:v>
      </x:c>
      <x:c r="S32" s="85" t="str">
        <x:v>lingbotvla</x:v>
      </x:c>
      <x:c r="T32" s="85" t="str"/>
      <x:c r="U32" s="85" t="str">
        <x:v>Fresh primary-source search identifies an additional manipulation VLA report absent from the current bibliography and companion catalogue.</x:v>
      </x:c>
      <x:c r="V32" s="85" t="str">
        <x:v>Supplementary targeted search, not an exhaustive systematic search. Distinct original LingBot-VLA report; not the already-cited LingBot-VLA 2.0 paper.</x:v>
      </x:c>
    </x:row>
    <x:row r="33" ht="69" customHeight="1">
      <x:c r="A33" s="85" t="str">
        <x:v>R032</x:v>
      </x:c>
      <x:c r="B33" s="85" t="str">
        <x:v>VLA</x:v>
      </x:c>
      <x:c r="C33" s="85" t="str">
        <x:v>LingBot-VLA 2.0</x:v>
      </x:c>
      <x:c r="D33" s="91" t="n">
        <x:v>2026</x:v>
      </x:c>
      <x:c r="E33" s="85" t="str">
        <x:v>From Foundation to Application: Improving VLA Models in Practice</x:v>
      </x:c>
      <x:c r="F33" s="85" t="str">
        <x:v>LingBot-VLA 2.0 extends a generalist VLA with whole-body action spaces and training across multiple robot embodiments and human videos. Auxiliary future prediction uses video-representation and depth-estimation supervision to connect action learning with temporal and geometric information.</x:v>
      </x:c>
      <x:c r="G33" s="92" t="str">
        <x:v>https://arxiv.org/abs/2607.06403</x:v>
      </x:c>
      <x:c r="H33" s="85" t="str">
        <x:v>Proposed include</x:v>
      </x:c>
      <x:c r="I33" s="93" t="str">
        <x:v>Include</x:v>
      </x:c>
      <x:c r="J33" s="85" t="str">
        <x:v>Paper</x:v>
      </x:c>
      <x:c r="K33" s="85" t="str">
        <x:v>Predictive VLA policy</x:v>
      </x:c>
      <x:c r="L33" s="85" t="str">
        <x:v>WM / predictive-policy overlap</x:v>
      </x:c>
      <x:c r="M33" s="85" t="str">
        <x:v>general robotics</x:v>
      </x:c>
      <x:c r="N33" s="85" t="str">
        <x:v>Current manuscript</x:v>
      </x:c>
      <x:c r="O33" s="85" t="str">
        <x:v>arXiv:2607.06403</x:v>
      </x:c>
      <x:c r="P33" s="85" t="str">
        <x:v>Prior primary-source check retained</x:v>
      </x:c>
      <x:c r="Q33" s="85" t="str"/>
      <x:c r="R33" s="85" t="str">
        <x:v>Established companion catalogue primary-source trace; not freshly rechecked this update.</x:v>
      </x:c>
      <x:c r="S33" s="85" t="str">
        <x:v>lingbotvla2</x:v>
      </x:c>
      <x:c r="T33" s="85" t="str">
        <x:v>Companion model catalogue; SectionIV; Table2/tab:vla-master; tab:vla-master</x:v>
      </x:c>
      <x:c r="U33" s="85" t="str">
        <x:v>Primary report proposes a visually and linguistically conditioned manipulation policy or a directly evaluated VLA training/inference method.</x:v>
      </x:c>
      <x:c r="V33" s="85" t="str">
        <x:v>One report only; predictive-policy secondary tag does not generate a second WM count.</x:v>
      </x:c>
    </x:row>
    <x:row r="34" ht="61" customHeight="1">
      <x:c r="A34" s="85" t="str">
        <x:v>R033</x:v>
      </x:c>
      <x:c r="B34" s="85" t="str">
        <x:v>VLA</x:v>
      </x:c>
      <x:c r="C34" s="85" t="str">
        <x:v>LLARVA</x:v>
      </x:c>
      <x:c r="D34" s="91" t="n">
        <x:v>2024</x:v>
      </x:c>
      <x:c r="E34" s="85" t="str">
        <x:v>LLARVA: Vision-Action Instruction Tuning Enhances Robot Learning</x:v>
      </x:c>
      <x:c r="F34" s="85" t="str">
        <x:v>LLARVA uses vision-action instruction tuning with intermediate two-dimensional visual traces. These traces help align multimodal representations with the robot behaviors learned during adaptation.</x:v>
      </x:c>
      <x:c r="G34" s="92" t="str">
        <x:v>https://arxiv.org/abs/2406.11815</x:v>
      </x:c>
      <x:c r="H34" s="85" t="str">
        <x:v>Proposed include</x:v>
      </x:c>
      <x:c r="I34" s="93" t="str">
        <x:v>Include</x:v>
      </x:c>
      <x:c r="J34" s="85" t="str">
        <x:v>Paper</x:v>
      </x:c>
      <x:c r="K34" s="85" t="str">
        <x:v>VLA policy</x:v>
      </x:c>
      <x:c r="L34" s="85" t="str"/>
      <x:c r="M34" s="85" t="str">
        <x:v>manipulation</x:v>
      </x:c>
      <x:c r="N34" s="85" t="str">
        <x:v>Current manuscript</x:v>
      </x:c>
      <x:c r="O34" s="85" t="str">
        <x:v>arXiv:2406.11815</x:v>
      </x:c>
      <x:c r="P34" s="85" t="str">
        <x:v>Prior primary-source check retained</x:v>
      </x:c>
      <x:c r="Q34" s="85" t="str"/>
      <x:c r="R34" s="85" t="str">
        <x:v>Established companion catalogue primary-source trace; not freshly rechecked this update.</x:v>
      </x:c>
      <x:c r="S34" s="85" t="str">
        <x:v>llarva</x:v>
      </x:c>
      <x:c r="T34" s="85" t="str">
        <x:v>Companion model catalogue; SectionIV</x:v>
      </x:c>
      <x:c r="U34" s="85" t="str">
        <x:v>Primary report proposes a visually and linguistically conditioned manipulation policy or a directly evaluated VLA training/inference method.</x:v>
      </x:c>
      <x:c r="V34" s="85" t="str"/>
    </x:row>
    <x:row r="35" ht="61" customHeight="1">
      <x:c r="A35" s="85" t="str">
        <x:v>R034</x:v>
      </x:c>
      <x:c r="B35" s="85" t="str">
        <x:v>VLA</x:v>
      </x:c>
      <x:c r="C35" s="85" t="str">
        <x:v>LoHoVLA</x:v>
      </x:c>
      <x:c r="D35" s="91" t="n">
        <x:v>2025</x:v>
      </x:c>
      <x:c r="E35" s="85" t="str">
        <x:v>LoHoVLA: A Unified Vision-Language-Action Model for Long-Horizon Embodied Tasks</x:v>
      </x:c>
      <x:c r="F35" s="85" t="str">
        <x:v>LoHoVLA jointly generates subtask language and robot-action tokens. Hierarchical feedback connects these outputs during multi-step embodied task execution.</x:v>
      </x:c>
      <x:c r="G35" s="92" t="str">
        <x:v>https://arxiv.org/abs/2506.00411</x:v>
      </x:c>
      <x:c r="H35" s="85" t="str">
        <x:v>Proposed include</x:v>
      </x:c>
      <x:c r="I35" s="93" t="str">
        <x:v>Include</x:v>
      </x:c>
      <x:c r="J35" s="85" t="str">
        <x:v>Paper</x:v>
      </x:c>
      <x:c r="K35" s="85" t="str">
        <x:v>VLA policy</x:v>
      </x:c>
      <x:c r="L35" s="85" t="str"/>
      <x:c r="M35" s="85" t="str">
        <x:v>manipulation</x:v>
      </x:c>
      <x:c r="N35" s="85" t="str">
        <x:v>Current manuscript</x:v>
      </x:c>
      <x:c r="O35" s="85" t="str">
        <x:v>arXiv:2506.00411</x:v>
      </x:c>
      <x:c r="P35" s="85" t="str">
        <x:v>Prior primary-source check retained</x:v>
      </x:c>
      <x:c r="Q35" s="85" t="str"/>
      <x:c r="R35" s="85" t="str">
        <x:v>Established companion catalogue primary-source trace; not freshly rechecked this update.</x:v>
      </x:c>
      <x:c r="S35" s="85" t="str">
        <x:v>lohovla</x:v>
      </x:c>
      <x:c r="T35" s="85" t="str">
        <x:v>Companion model catalogue; SectionIV; Table2/tab:vla-master; tab:vla-master</x:v>
      </x:c>
      <x:c r="U35" s="85" t="str">
        <x:v>Primary report proposes a visually and linguistically conditioned manipulation policy or a directly evaluated VLA training/inference method.</x:v>
      </x:c>
      <x:c r="V35" s="85" t="str"/>
    </x:row>
    <x:row r="36" ht="61" customHeight="1">
      <x:c r="A36" s="85" t="str">
        <x:v>R035</x:v>
      </x:c>
      <x:c r="B36" s="85" t="str">
        <x:v>VLA</x:v>
      </x:c>
      <x:c r="C36" s="85" t="str">
        <x:v>Long-VLA</x:v>
      </x:c>
      <x:c r="D36" s="91" t="n">
        <x:v>2025</x:v>
      </x:c>
      <x:c r="E36" s="85" t="str">
        <x:v>Long-VLA: Unleashing Long-Horizon Capability of Vision-Language-Action Models</x:v>
      </x:c>
      <x:c r="F36" s="85" t="str">
        <x:v>Long-VLA uses phase-aware masking of sensory inputs to support coordination across successive subtasks. It addresses error accumulation and execution over extended manipulation horizons.</x:v>
      </x:c>
      <x:c r="G36" s="92" t="str">
        <x:v>https://arxiv.org/abs/2508.19958</x:v>
      </x:c>
      <x:c r="H36" s="85" t="str">
        <x:v>Proposed include</x:v>
      </x:c>
      <x:c r="I36" s="93" t="str">
        <x:v>Include</x:v>
      </x:c>
      <x:c r="J36" s="85" t="str">
        <x:v>Paper</x:v>
      </x:c>
      <x:c r="K36" s="85" t="str">
        <x:v>VLA policy</x:v>
      </x:c>
      <x:c r="L36" s="85" t="str"/>
      <x:c r="M36" s="85" t="str">
        <x:v>manipulation</x:v>
      </x:c>
      <x:c r="N36" s="85" t="str">
        <x:v>Current manuscript</x:v>
      </x:c>
      <x:c r="O36" s="85" t="str">
        <x:v>arXiv:2508.19958</x:v>
      </x:c>
      <x:c r="P36" s="85" t="str">
        <x:v>Prior primary-source check retained</x:v>
      </x:c>
      <x:c r="Q36" s="85" t="str"/>
      <x:c r="R36" s="85" t="str">
        <x:v>Established companion catalogue primary-source trace; not freshly rechecked this update.</x:v>
      </x:c>
      <x:c r="S36" s="85" t="str">
        <x:v>longvla</x:v>
      </x:c>
      <x:c r="T36" s="85" t="str">
        <x:v>Companion model catalogue; SectionIV</x:v>
      </x:c>
      <x:c r="U36" s="85" t="str">
        <x:v>Primary report proposes a visually and linguistically conditioned manipulation policy or a directly evaluated VLA training/inference method.</x:v>
      </x:c>
      <x:c r="V36" s="85" t="str"/>
    </x:row>
    <x:row r="37" ht="61" customHeight="1">
      <x:c r="A37" s="85" t="str">
        <x:v>R036</x:v>
      </x:c>
      <x:c r="B37" s="85" t="str">
        <x:v>VLA</x:v>
      </x:c>
      <x:c r="C37" s="85" t="str">
        <x:v>MemoryVLA</x:v>
      </x:c>
      <x:c r="D37" s="91" t="n">
        <x:v>2025</x:v>
      </x:c>
      <x:c r="E37" s="85" t="str">
        <x:v>MemoryVLA: Perceptual-Cognitive Memory in Vision-Language-Action Models for Robotic Manipulation</x:v>
      </x:c>
      <x:c r="F37" s="85" t="str">
        <x:v>MemoryVLA combines perceptual and semantic memory retrieval with a memory-conditioned diffusion action expert. It supplies temporal context for manipulation decisions that cannot be resolved reliably from the current observation alone.</x:v>
      </x:c>
      <x:c r="G37" s="92" t="str">
        <x:v>https://arxiv.org/abs/2508.19236</x:v>
      </x:c>
      <x:c r="H37" s="85" t="str">
        <x:v>Proposed include</x:v>
      </x:c>
      <x:c r="I37" s="93" t="str">
        <x:v>Include</x:v>
      </x:c>
      <x:c r="J37" s="85" t="str">
        <x:v>Paper</x:v>
      </x:c>
      <x:c r="K37" s="85" t="str">
        <x:v>VLA policy</x:v>
      </x:c>
      <x:c r="L37" s="85" t="str"/>
      <x:c r="M37" s="85" t="str">
        <x:v>manipulation</x:v>
      </x:c>
      <x:c r="N37" s="85" t="str">
        <x:v>Current manuscript</x:v>
      </x:c>
      <x:c r="O37" s="85" t="str">
        <x:v>arXiv:2508.19236</x:v>
      </x:c>
      <x:c r="P37" s="85" t="str">
        <x:v>Prior primary-source check retained</x:v>
      </x:c>
      <x:c r="Q37" s="85" t="str"/>
      <x:c r="R37" s="85" t="str">
        <x:v>Established companion catalogue primary-source trace; not freshly rechecked this update.</x:v>
      </x:c>
      <x:c r="S37" s="85" t="str">
        <x:v>memoryvla</x:v>
      </x:c>
      <x:c r="T37" s="85" t="str">
        <x:v>Companion model catalogue; Other manuscript section</x:v>
      </x:c>
      <x:c r="U37" s="85" t="str">
        <x:v>Primary report proposes a visually and linguistically conditioned manipulation policy or a directly evaluated VLA training/inference method.</x:v>
      </x:c>
      <x:c r="V37" s="85" t="str"/>
    </x:row>
    <x:row r="38" ht="61" customHeight="1">
      <x:c r="A38" s="85" t="str">
        <x:v>R037</x:v>
      </x:c>
      <x:c r="B38" s="85" t="str">
        <x:v>VLA</x:v>
      </x:c>
      <x:c r="C38" s="85" t="str">
        <x:v>Octo</x:v>
      </x:c>
      <x:c r="D38" s="91" t="n">
        <x:v>2024</x:v>
      </x:c>
      <x:c r="E38" s="85" t="str">
        <x:v>Octo: An Open-Source Generalist Robot Policy</x:v>
      </x:c>
      <x:c r="F38" s="85" t="str">
        <x:v>Octo is an open generalist robot policy with a diffusion action head and language- or image-goal conditioning. Its adaptation interface accommodates new observation inputs and robot action spaces.</x:v>
      </x:c>
      <x:c r="G38" s="92" t="str">
        <x:v>https://arxiv.org/abs/2405.12213</x:v>
      </x:c>
      <x:c r="H38" s="85" t="str">
        <x:v>Proposed include</x:v>
      </x:c>
      <x:c r="I38" s="93" t="str">
        <x:v>Include</x:v>
      </x:c>
      <x:c r="J38" s="85" t="str">
        <x:v>Paper</x:v>
      </x:c>
      <x:c r="K38" s="85" t="str">
        <x:v>VLA policy</x:v>
      </x:c>
      <x:c r="L38" s="85" t="str"/>
      <x:c r="M38" s="85" t="str">
        <x:v>manipulation</x:v>
      </x:c>
      <x:c r="N38" s="85" t="str">
        <x:v>Current manuscript</x:v>
      </x:c>
      <x:c r="O38" s="85" t="str">
        <x:v>arXiv:2405.12213</x:v>
      </x:c>
      <x:c r="P38" s="85" t="str">
        <x:v>Prior primary-source check retained</x:v>
      </x:c>
      <x:c r="Q38" s="85" t="str"/>
      <x:c r="R38" s="85" t="str">
        <x:v>Established companion catalogue primary-source trace; not freshly rechecked this update.</x:v>
      </x:c>
      <x:c r="S38" s="85" t="str">
        <x:v>octo</x:v>
      </x:c>
      <x:c r="T38" s="85" t="str">
        <x:v>Companion model catalogue; SectionIV; Table2/tab:vla-master; tab:vla-master</x:v>
      </x:c>
      <x:c r="U38" s="85" t="str">
        <x:v>Primary report proposes a visually and linguistically conditioned manipulation policy or a directly evaluated VLA training/inference method.</x:v>
      </x:c>
      <x:c r="V38" s="85" t="str"/>
    </x:row>
    <x:row r="39" ht="61" customHeight="1">
      <x:c r="A39" s="85" t="str">
        <x:v>R038</x:v>
      </x:c>
      <x:c r="B39" s="85" t="str">
        <x:v>VLA</x:v>
      </x:c>
      <x:c r="C39" s="85" t="str">
        <x:v>OneTwoVLA</x:v>
      </x:c>
      <x:c r="D39" s="91" t="n">
        <x:v>2025</x:v>
      </x:c>
      <x:c r="E39" s="85" t="str">
        <x:v>OneTwoVLA: A Unified Vision-Language-Action Model with Adaptive Reasoning</x:v>
      </x:c>
      <x:c r="F39" s="85" t="str">
        <x:v>OneTwoVLA unifies explicit reasoning and robot-action generation within one model. It switches between reasoning and execution as task progress requires.</x:v>
      </x:c>
      <x:c r="G39" s="92" t="str">
        <x:v>https://arxiv.org/abs/2505.11917</x:v>
      </x:c>
      <x:c r="H39" s="85" t="str">
        <x:v>Proposed include</x:v>
      </x:c>
      <x:c r="I39" s="93" t="str">
        <x:v>Include</x:v>
      </x:c>
      <x:c r="J39" s="85" t="str">
        <x:v>Paper</x:v>
      </x:c>
      <x:c r="K39" s="85" t="str">
        <x:v>VLA policy</x:v>
      </x:c>
      <x:c r="L39" s="85" t="str"/>
      <x:c r="M39" s="85" t="str">
        <x:v>manipulation</x:v>
      </x:c>
      <x:c r="N39" s="85" t="str">
        <x:v>Current manuscript</x:v>
      </x:c>
      <x:c r="O39" s="85" t="str">
        <x:v>arXiv:2505.11917</x:v>
      </x:c>
      <x:c r="P39" s="85" t="str">
        <x:v>Prior primary-source check retained</x:v>
      </x:c>
      <x:c r="Q39" s="85" t="str"/>
      <x:c r="R39" s="85" t="str">
        <x:v>Established companion catalogue primary-source trace; not freshly rechecked this update.</x:v>
      </x:c>
      <x:c r="S39" s="85" t="str">
        <x:v>onetwovla</x:v>
      </x:c>
      <x:c r="T39" s="85" t="str">
        <x:v>Companion model catalogue; SectionIV</x:v>
      </x:c>
      <x:c r="U39" s="85" t="str">
        <x:v>Primary report proposes a visually and linguistically conditioned manipulation policy or a directly evaluated VLA training/inference method.</x:v>
      </x:c>
      <x:c r="V39" s="85" t="str"/>
    </x:row>
    <x:row r="40" ht="61" customHeight="1">
      <x:c r="A40" s="85" t="str">
        <x:v>R039</x:v>
      </x:c>
      <x:c r="B40" s="85" t="str">
        <x:v>VLA</x:v>
      </x:c>
      <x:c r="C40" s="85" t="str">
        <x:v>OpenVLA</x:v>
      </x:c>
      <x:c r="D40" s="91" t="n">
        <x:v>2024</x:v>
      </x:c>
      <x:c r="E40" s="85" t="str">
        <x:v>OpenVLA: An Open-Source Vision-Language-Action Model</x:v>
      </x:c>
      <x:c r="F40" s="85" t="str">
        <x:v>OpenVLA combines pretrained visual-language representations with autoregressive robot-action prediction in an open model. It provides a generalist manipulation policy that can be adapted to new tasks through fine-tuning.</x:v>
      </x:c>
      <x:c r="G40" s="92" t="str">
        <x:v>https://arxiv.org/abs/2406.09246</x:v>
      </x:c>
      <x:c r="H40" s="85" t="str">
        <x:v>Proposed include</x:v>
      </x:c>
      <x:c r="I40" s="93" t="str">
        <x:v>Include</x:v>
      </x:c>
      <x:c r="J40" s="85" t="str">
        <x:v>Paper</x:v>
      </x:c>
      <x:c r="K40" s="85" t="str">
        <x:v>VLA policy</x:v>
      </x:c>
      <x:c r="L40" s="85" t="str"/>
      <x:c r="M40" s="85" t="str">
        <x:v>manipulation</x:v>
      </x:c>
      <x:c r="N40" s="85" t="str">
        <x:v>Current manuscript</x:v>
      </x:c>
      <x:c r="O40" s="85" t="str">
        <x:v>arXiv:2406.09246</x:v>
      </x:c>
      <x:c r="P40" s="85" t="str">
        <x:v>Prior primary-source check retained</x:v>
      </x:c>
      <x:c r="Q40" s="85" t="str"/>
      <x:c r="R40" s="85" t="str">
        <x:v>Established companion catalogue primary-source trace; not freshly rechecked this update.</x:v>
      </x:c>
      <x:c r="S40" s="85" t="str">
        <x:v>openvla</x:v>
      </x:c>
      <x:c r="T40" s="85" t="str">
        <x:v>Companion model catalogue; SectionIV; Table2/tab:vla-master; tab:vla-master</x:v>
      </x:c>
      <x:c r="U40" s="85" t="str">
        <x:v>Primary report proposes a visually and linguistically conditioned manipulation policy or a directly evaluated VLA training/inference method.</x:v>
      </x:c>
      <x:c r="V40" s="85" t="str"/>
    </x:row>
    <x:row r="41" ht="61" customHeight="1">
      <x:c r="A41" s="85" t="str">
        <x:v>R040</x:v>
      </x:c>
      <x:c r="B41" s="85" t="str">
        <x:v>VLA</x:v>
      </x:c>
      <x:c r="C41" s="85" t="str">
        <x:v>OpenVLA-OFT</x:v>
      </x:c>
      <x:c r="D41" s="91" t="n">
        <x:v>2025</x:v>
      </x:c>
      <x:c r="E41" s="85" t="str">
        <x:v>Fine-Tuning Vision-Language-Action Models: Optimizing Speed and Success</x:v>
      </x:c>
      <x:c r="F41" s="85" t="str">
        <x:v>OpenVLA-OFT studies fine-tuning choices for faster and more successful VLA control. Its recipe uses action chunking and parallel continuous regression instead of sequential action-token decoding.</x:v>
      </x:c>
      <x:c r="G41" s="92" t="str">
        <x:v>https://arxiv.org/abs/2502.19645</x:v>
      </x:c>
      <x:c r="H41" s="85" t="str">
        <x:v>Proposed include</x:v>
      </x:c>
      <x:c r="I41" s="93" t="str">
        <x:v>Include</x:v>
      </x:c>
      <x:c r="J41" s="85" t="str">
        <x:v>Paper</x:v>
      </x:c>
      <x:c r="K41" s="85" t="str">
        <x:v>VLA training / inference method</x:v>
      </x:c>
      <x:c r="L41" s="85" t="str"/>
      <x:c r="M41" s="85" t="str">
        <x:v>manipulation</x:v>
      </x:c>
      <x:c r="N41" s="85" t="str">
        <x:v>Current manuscript</x:v>
      </x:c>
      <x:c r="O41" s="85" t="str">
        <x:v>arXiv:2502.19645</x:v>
      </x:c>
      <x:c r="P41" s="85" t="str">
        <x:v>Prior primary-source check retained</x:v>
      </x:c>
      <x:c r="Q41" s="85" t="str"/>
      <x:c r="R41" s="85" t="str">
        <x:v>Established companion catalogue primary-source trace; not freshly rechecked this update.</x:v>
      </x:c>
      <x:c r="S41" s="85" t="str">
        <x:v>openvlaoft</x:v>
      </x:c>
      <x:c r="T41" s="85" t="str">
        <x:v>Companion model catalogue; SectionIV; Table2/tab:vla-master; tab:vla-master</x:v>
      </x:c>
      <x:c r="U41" s="85" t="str">
        <x:v>Primary report proposes a visually and linguistically conditioned manipulation policy or a directly evaluated VLA training/inference method.</x:v>
      </x:c>
      <x:c r="V41" s="85" t="str"/>
    </x:row>
    <x:row r="42" ht="61" customHeight="1">
      <x:c r="A42" s="85" t="str">
        <x:v>R041</x:v>
      </x:c>
      <x:c r="B42" s="85" t="str">
        <x:v>VLA</x:v>
      </x:c>
      <x:c r="C42" s="85" t="str">
        <x:v>PD-VLA</x:v>
      </x:c>
      <x:c r="D42" s="91" t="n">
        <x:v>2025</x:v>
      </x:c>
      <x:c r="E42" s="85" t="str">
        <x:v>Accelerating Vision-Language-Action Model Integrated with Action Chunking via Parallel Decoding</x:v>
      </x:c>
      <x:c r="F42" s="85" t="str">
        <x:v>PD-VLA applies parallel fixed-point iterations to decode action chunks from an autoregressive VLA. It targets action-generation latency while retaining the policy formulation of robot control.</x:v>
      </x:c>
      <x:c r="G42" s="92" t="str">
        <x:v>https://arxiv.org/abs/2503.02310</x:v>
      </x:c>
      <x:c r="H42" s="85" t="str">
        <x:v>Proposed include</x:v>
      </x:c>
      <x:c r="I42" s="93" t="str">
        <x:v>Include</x:v>
      </x:c>
      <x:c r="J42" s="85" t="str">
        <x:v>Paper</x:v>
      </x:c>
      <x:c r="K42" s="85" t="str">
        <x:v>VLA training / inference method</x:v>
      </x:c>
      <x:c r="L42" s="85" t="str">
        <x:v>Efficiency</x:v>
      </x:c>
      <x:c r="M42" s="85" t="str">
        <x:v>manipulation</x:v>
      </x:c>
      <x:c r="N42" s="85" t="str">
        <x:v>Current manuscript</x:v>
      </x:c>
      <x:c r="O42" s="85" t="str">
        <x:v>arXiv:2503.02310</x:v>
      </x:c>
      <x:c r="P42" s="85" t="str">
        <x:v>Prior primary-source check retained</x:v>
      </x:c>
      <x:c r="Q42" s="85" t="str"/>
      <x:c r="R42" s="85" t="str">
        <x:v>Established companion catalogue primary-source trace; not freshly rechecked this update.</x:v>
      </x:c>
      <x:c r="S42" s="85" t="str">
        <x:v>pdvla</x:v>
      </x:c>
      <x:c r="T42" s="85" t="str">
        <x:v>Companion model catalogue; SectionIV</x:v>
      </x:c>
      <x:c r="U42" s="85" t="str">
        <x:v>Primary report proposes a visually and linguistically conditioned manipulation policy or a directly evaluated VLA training/inference method.</x:v>
      </x:c>
      <x:c r="V42" s="85" t="str"/>
    </x:row>
    <x:row r="43" ht="61" customHeight="1">
      <x:c r="A43" s="85" t="str">
        <x:v>R042</x:v>
      </x:c>
      <x:c r="B43" s="85" t="str">
        <x:v>VLA</x:v>
      </x:c>
      <x:c r="C43" s="85" t="str">
        <x:v>PointVLA</x:v>
      </x:c>
      <x:c r="D43" s="91" t="n">
        <x:v>2025</x:v>
      </x:c>
      <x:c r="E43" s="85" t="str">
        <x:v>PointVLA: Injecting the 3D World into Vision-Language-Action Models</x:v>
      </x:c>
      <x:c r="F43" s="85" t="str">
        <x:v>PointVLA injects point-cloud information into pretrained VLA action modules through lightweight adaptation. It gives an existing policy access to three-dimensional geometry for manipulation.</x:v>
      </x:c>
      <x:c r="G43" s="92" t="str">
        <x:v>https://arxiv.org/abs/2503.07511</x:v>
      </x:c>
      <x:c r="H43" s="85" t="str">
        <x:v>Proposed include</x:v>
      </x:c>
      <x:c r="I43" s="93" t="str">
        <x:v>Include</x:v>
      </x:c>
      <x:c r="J43" s="85" t="str">
        <x:v>Paper</x:v>
      </x:c>
      <x:c r="K43" s="85" t="str">
        <x:v>Language-conditioned spatial manipulation policy</x:v>
      </x:c>
      <x:c r="L43" s="85" t="str"/>
      <x:c r="M43" s="85" t="str">
        <x:v>manipulation</x:v>
      </x:c>
      <x:c r="N43" s="85" t="str">
        <x:v>Current manuscript</x:v>
      </x:c>
      <x:c r="O43" s="85" t="str">
        <x:v>arXiv:2503.07511</x:v>
      </x:c>
      <x:c r="P43" s="85" t="str">
        <x:v>Prior primary-source check retained</x:v>
      </x:c>
      <x:c r="Q43" s="85" t="str"/>
      <x:c r="R43" s="85" t="str">
        <x:v>Established companion catalogue primary-source trace; not freshly rechecked this update.</x:v>
      </x:c>
      <x:c r="S43" s="85" t="str">
        <x:v>pointvla</x:v>
      </x:c>
      <x:c r="T43" s="85" t="str">
        <x:v>Companion model catalogue; SectionIV</x:v>
      </x:c>
      <x:c r="U43" s="85" t="str">
        <x:v>Primary report proposes a visually and linguistically conditioned manipulation policy or a directly evaluated VLA training/inference method.</x:v>
      </x:c>
      <x:c r="V43" s="85" t="str"/>
    </x:row>
    <x:row r="44" ht="69" customHeight="1">
      <x:c r="A44" s="85" t="str">
        <x:v>R043</x:v>
      </x:c>
      <x:c r="B44" s="85" t="str">
        <x:v>VLA</x:v>
      </x:c>
      <x:c r="C44" s="85" t="str">
        <x:v>QueST (language-conditioned skill policy)</x:v>
      </x:c>
      <x:c r="D44" s="91" t="n">
        <x:v>2024</x:v>
      </x:c>
      <x:c r="E44" s="85" t="str">
        <x:v>QueST: Self-Supervised Skill Abstractions for Learning Continuous Control</x:v>
      </x:c>
      <x:c r="F44" s="85" t="str">
        <x:v>Learns quantized temporal skill representations from action sequences and predicts skills from visual observations and task descriptions for multitask and few-shot control. It provides a lightweight policy baseline for RIPT-VLA.</x:v>
      </x:c>
      <x:c r="G44" s="92" t="str">
        <x:v>https://arxiv.org/abs/2407.15840</x:v>
      </x:c>
      <x:c r="H44" s="85" t="str">
        <x:v>Proposed include</x:v>
      </x:c>
      <x:c r="I44" s="93" t="str">
        <x:v>Include</x:v>
      </x:c>
      <x:c r="J44" s="85" t="str">
        <x:v>Paper</x:v>
      </x:c>
      <x:c r="K44" s="85" t="str">
        <x:v>Language-conditioned skill policy</x:v>
      </x:c>
      <x:c r="L44" s="85" t="str"/>
      <x:c r="M44" s="85" t="str">
        <x:v>manipulation</x:v>
      </x:c>
      <x:c r="N44" s="85" t="str">
        <x:v>Existing companion catalogue</x:v>
      </x:c>
      <x:c r="O44" s="85" t="str">
        <x:v>arXiv:2407.15840</x:v>
      </x:c>
      <x:c r="P44" s="85" t="str">
        <x:v>Primary source checked this update</x:v>
      </x:c>
      <x:c r="Q44" s="85" t="str">
        <x:v>2026-10-01</x:v>
      </x:c>
      <x:c r="R44" s="85" t="str">
        <x:v>Section4 implementation: LIBERO tasks are language-annotated and frozen CLIP encodes task conditioning.</x:v>
      </x:c>
      <x:c r="S44" s="85" t="str">
        <x:v>quest</x:v>
      </x:c>
      <x:c r="T44" s="85" t="str">
        <x:v>Companion model catalogue</x:v>
      </x:c>
      <x:c r="U44" s="85" t="str">
        <x:v>Primary report proposes a visually and linguistically conditioned manipulation policy or a directly evaluated VLA training/inference method.</x:v>
      </x:c>
      <x:c r="V44" s="85" t="str">
        <x:v>Named in companion catalogue but not cited in current manuscript; candidate addition, not an existing included study. Named as a RIPT-VLA backbone in Table2 but its own paper is not currently cited. Language-conditioned skill-policy subtype; not a pretrained large-VLM architecture.</x:v>
      </x:c>
    </x:row>
    <x:row r="45" ht="61" customHeight="1">
      <x:c r="A45" s="85" t="str">
        <x:v>R044</x:v>
      </x:c>
      <x:c r="B45" s="85" t="str">
        <x:v>VLA</x:v>
      </x:c>
      <x:c r="C45" s="85" t="str">
        <x:v>RationalVLA</x:v>
      </x:c>
      <x:c r="D45" s="91" t="n">
        <x:v>2025</x:v>
      </x:c>
      <x:c r="E45" s="85" t="str">
        <x:v>RationalVLA: A Rational Vision-Language-Action Model with Dual System</x:v>
      </x:c>
      <x:c r="F45" s="85" t="str">
        <x:v>RationalVLA couples higher-level instruction reasoning with manipulation control in a dual-system design. It includes assessment and rejection of commands judged infeasible or defective.</x:v>
      </x:c>
      <x:c r="G45" s="92" t="str">
        <x:v>https://arxiv.org/abs/2506.10826</x:v>
      </x:c>
      <x:c r="H45" s="85" t="str">
        <x:v>Proposed include</x:v>
      </x:c>
      <x:c r="I45" s="93" t="str">
        <x:v>Include</x:v>
      </x:c>
      <x:c r="J45" s="85" t="str">
        <x:v>Paper</x:v>
      </x:c>
      <x:c r="K45" s="85" t="str">
        <x:v>VLA policy</x:v>
      </x:c>
      <x:c r="L45" s="85" t="str"/>
      <x:c r="M45" s="85" t="str">
        <x:v>manipulation</x:v>
      </x:c>
      <x:c r="N45" s="85" t="str">
        <x:v>Current manuscript</x:v>
      </x:c>
      <x:c r="O45" s="85" t="str">
        <x:v>arXiv:2506.10826</x:v>
      </x:c>
      <x:c r="P45" s="85" t="str">
        <x:v>Prior primary-source check retained</x:v>
      </x:c>
      <x:c r="Q45" s="85" t="str"/>
      <x:c r="R45" s="85" t="str">
        <x:v>Established companion catalogue primary-source trace; not freshly rechecked this update.</x:v>
      </x:c>
      <x:c r="S45" s="85" t="str">
        <x:v>rationalvla</x:v>
      </x:c>
      <x:c r="T45" s="85" t="str">
        <x:v>Companion model catalogue; SectionIV</x:v>
      </x:c>
      <x:c r="U45" s="85" t="str">
        <x:v>Primary report proposes a visually and linguistically conditioned manipulation policy or a directly evaluated VLA training/inference method.</x:v>
      </x:c>
      <x:c r="V45" s="85" t="str"/>
    </x:row>
    <x:row r="46" ht="61" customHeight="1">
      <x:c r="A46" s="85" t="str">
        <x:v>R045</x:v>
      </x:c>
      <x:c r="B46" s="85" t="str">
        <x:v>VLA</x:v>
      </x:c>
      <x:c r="C46" s="85" t="str">
        <x:v>RDT-1B</x:v>
      </x:c>
      <x:c r="D46" s="91" t="n">
        <x:v>2024</x:v>
      </x:c>
      <x:c r="E46" s="85" t="str">
        <x:v>RDT-1B: A Diffusion Foundation Model for Bimanual Manipulation</x:v>
      </x:c>
      <x:c r="F46" s="85" t="str">
        <x:v>RDT-1B uses a diffusion transformer to generate bimanual robot actions conditioned on multimodal inputs. A unified action representation supports learning from robots with different configurations.</x:v>
      </x:c>
      <x:c r="G46" s="92" t="str">
        <x:v>https://arxiv.org/abs/2410.07864</x:v>
      </x:c>
      <x:c r="H46" s="85" t="str">
        <x:v>Proposed include</x:v>
      </x:c>
      <x:c r="I46" s="93" t="str">
        <x:v>Include</x:v>
      </x:c>
      <x:c r="J46" s="85" t="str">
        <x:v>Paper</x:v>
      </x:c>
      <x:c r="K46" s="85" t="str">
        <x:v>VLA policy</x:v>
      </x:c>
      <x:c r="L46" s="85" t="str"/>
      <x:c r="M46" s="85" t="str">
        <x:v>manipulation</x:v>
      </x:c>
      <x:c r="N46" s="85" t="str">
        <x:v>Current manuscript</x:v>
      </x:c>
      <x:c r="O46" s="85" t="str">
        <x:v>arXiv:2410.07864</x:v>
      </x:c>
      <x:c r="P46" s="85" t="str">
        <x:v>Prior primary-source check retained</x:v>
      </x:c>
      <x:c r="Q46" s="85" t="str"/>
      <x:c r="R46" s="85" t="str">
        <x:v>Established companion catalogue primary-source trace; not freshly rechecked this update.</x:v>
      </x:c>
      <x:c r="S46" s="85" t="str">
        <x:v>rdt1b</x:v>
      </x:c>
      <x:c r="T46" s="85" t="str">
        <x:v>Companion model catalogue; SectionIV; Table2/tab:vla-master; tab:vla-master</x:v>
      </x:c>
      <x:c r="U46" s="85" t="str">
        <x:v>Primary report proposes a visually and linguistically conditioned manipulation policy or a directly evaluated VLA training/inference method.</x:v>
      </x:c>
      <x:c r="V46" s="85" t="str"/>
    </x:row>
    <x:row r="47" ht="61" customHeight="1">
      <x:c r="A47" s="85" t="str">
        <x:v>R046</x:v>
      </x:c>
      <x:c r="B47" s="85" t="str">
        <x:v>VLA</x:v>
      </x:c>
      <x:c r="C47" s="85" t="str">
        <x:v>RIPT-VLA</x:v>
      </x:c>
      <x:c r="D47" s="91" t="n">
        <x:v>2025</x:v>
      </x:c>
      <x:c r="E47" s="85" t="str">
        <x:v>Interactive Post-Training for Vision-Language-Action Models</x:v>
      </x:c>
      <x:c r="F47" s="85" t="str">
        <x:v>RIPT-VLA fine-tunes pretrained robot policies through reinforcement learning with sparse task-success rewards. It studies interactive post-training of both lightweight and larger policies under limited supervision.</x:v>
      </x:c>
      <x:c r="G47" s="92" t="str">
        <x:v>https://arxiv.org/abs/2505.17016</x:v>
      </x:c>
      <x:c r="H47" s="85" t="str">
        <x:v>Proposed include</x:v>
      </x:c>
      <x:c r="I47" s="93" t="str">
        <x:v>Include</x:v>
      </x:c>
      <x:c r="J47" s="85" t="str">
        <x:v>Paper</x:v>
      </x:c>
      <x:c r="K47" s="85" t="str">
        <x:v>VLA reinforcement-learning / preference method</x:v>
      </x:c>
      <x:c r="L47" s="85" t="str">
        <x:v>Post-training</x:v>
      </x:c>
      <x:c r="M47" s="85" t="str">
        <x:v>manipulation</x:v>
      </x:c>
      <x:c r="N47" s="85" t="str">
        <x:v>Current manuscript</x:v>
      </x:c>
      <x:c r="O47" s="85" t="str">
        <x:v>arXiv:2505.17016</x:v>
      </x:c>
      <x:c r="P47" s="85" t="str">
        <x:v>Prior primary-source check retained</x:v>
      </x:c>
      <x:c r="Q47" s="85" t="str"/>
      <x:c r="R47" s="85" t="str">
        <x:v>Established companion catalogue primary-source trace; not freshly rechecked this update.</x:v>
      </x:c>
      <x:c r="S47" s="85" t="str">
        <x:v>riptvla</x:v>
      </x:c>
      <x:c r="T47" s="85" t="str">
        <x:v>Companion model catalogue; SectionIV; Table2/tab:vla-master; tab:vla-master</x:v>
      </x:c>
      <x:c r="U47" s="85" t="str">
        <x:v>Primary report proposes a visually and linguistically conditioned manipulation policy or a directly evaluated VLA training/inference method.</x:v>
      </x:c>
      <x:c r="V47" s="85" t="str"/>
    </x:row>
    <x:row r="48" ht="61" customHeight="1">
      <x:c r="A48" s="85" t="str">
        <x:v>R047</x:v>
      </x:c>
      <x:c r="B48" s="85" t="str">
        <x:v>VLA</x:v>
      </x:c>
      <x:c r="C48" s="85" t="str">
        <x:v>RLDG</x:v>
      </x:c>
      <x:c r="D48" s="91" t="n">
        <x:v>2024</x:v>
      </x:c>
      <x:c r="E48" s="85" t="str">
        <x:v>RLDG: Robotic Generalist Policy Distillation via Reinforcement Learning</x:v>
      </x:c>
      <x:c r="F48" s="85" t="str">
        <x:v>RLDG distills trajectories produced by task-specific reinforcement-learning policies into a generalist robot policy. It uses specialist behavior as an additional source of training data for generalist control.</x:v>
      </x:c>
      <x:c r="G48" s="92" t="str">
        <x:v>https://arxiv.org/abs/2412.09858</x:v>
      </x:c>
      <x:c r="H48" s="85" t="str">
        <x:v>Proposed include</x:v>
      </x:c>
      <x:c r="I48" s="93" t="str">
        <x:v>Include</x:v>
      </x:c>
      <x:c r="J48" s="85" t="str">
        <x:v>Paper</x:v>
      </x:c>
      <x:c r="K48" s="85" t="str">
        <x:v>VLA reinforcement-learning / preference method</x:v>
      </x:c>
      <x:c r="L48" s="85" t="str">
        <x:v>Post-training</x:v>
      </x:c>
      <x:c r="M48" s="85" t="str">
        <x:v>manipulation</x:v>
      </x:c>
      <x:c r="N48" s="85" t="str">
        <x:v>Current manuscript</x:v>
      </x:c>
      <x:c r="O48" s="85" t="str">
        <x:v>arXiv:2412.09858</x:v>
      </x:c>
      <x:c r="P48" s="85" t="str">
        <x:v>Primary source checked this update</x:v>
      </x:c>
      <x:c r="Q48" s="85" t="str">
        <x:v>2026-10-01</x:v>
      </x:c>
      <x:c r="R48" s="85" t="str">
        <x:v>Figure1 and Section3.3: specialist RL-generated trajectories fine-tune OpenVLA and Octo.</x:v>
      </x:c>
      <x:c r="S48" s="85" t="str">
        <x:v>rldg</x:v>
      </x:c>
      <x:c r="T48" s="85" t="str">
        <x:v>Companion model catalogue; SectionIV</x:v>
      </x:c>
      <x:c r="U48" s="85" t="str">
        <x:v>Primary report proposes a visually and linguistically conditioned manipulation policy or a directly evaluated VLA training/inference method.</x:v>
      </x:c>
      <x:c r="V48" s="85" t="str"/>
    </x:row>
    <x:row r="49" ht="61" customHeight="1">
      <x:c r="A49" s="85" t="str">
        <x:v>R048</x:v>
      </x:c>
      <x:c r="B49" s="85" t="str">
        <x:v>VLA</x:v>
      </x:c>
      <x:c r="C49" s="85" t="str">
        <x:v>RoboFlamingo</x:v>
      </x:c>
      <x:c r="D49" s="91" t="n">
        <x:v>2023</x:v>
      </x:c>
      <x:c r="E49" s="85" t="str">
        <x:v>Vision-Language Foundation Models as Effective Robot Imitators</x:v>
      </x:c>
      <x:c r="F49" s="85" t="str">
        <x:v>RoboFlamingo adapts a pretrained OpenFlamingo vision-language model for robot imitation learning. An action-prediction interface connects multimodal understanding to language-conditioned manipulation.</x:v>
      </x:c>
      <x:c r="G49" s="92" t="str">
        <x:v>https://arxiv.org/abs/2311.01378</x:v>
      </x:c>
      <x:c r="H49" s="85" t="str">
        <x:v>Proposed include</x:v>
      </x:c>
      <x:c r="I49" s="93" t="str">
        <x:v>Include</x:v>
      </x:c>
      <x:c r="J49" s="85" t="str">
        <x:v>Paper</x:v>
      </x:c>
      <x:c r="K49" s="85" t="str">
        <x:v>VLA policy</x:v>
      </x:c>
      <x:c r="L49" s="85" t="str"/>
      <x:c r="M49" s="85" t="str">
        <x:v>manipulation</x:v>
      </x:c>
      <x:c r="N49" s="85" t="str">
        <x:v>Current manuscript</x:v>
      </x:c>
      <x:c r="O49" s="85" t="str">
        <x:v>arXiv:2311.01378</x:v>
      </x:c>
      <x:c r="P49" s="85" t="str">
        <x:v>Prior primary-source check retained</x:v>
      </x:c>
      <x:c r="Q49" s="85" t="str"/>
      <x:c r="R49" s="85" t="str">
        <x:v>Established companion catalogue primary-source trace; not freshly rechecked this update.</x:v>
      </x:c>
      <x:c r="S49" s="85" t="str">
        <x:v>roboflamingo</x:v>
      </x:c>
      <x:c r="T49" s="85" t="str">
        <x:v>Companion model catalogue; SectionIV</x:v>
      </x:c>
      <x:c r="U49" s="85" t="str">
        <x:v>Primary report proposes a visually and linguistically conditioned manipulation policy or a directly evaluated VLA training/inference method.</x:v>
      </x:c>
      <x:c r="V49" s="85" t="str">
        <x:v>Year uses first arXiv report (2023); existing reference uses publication year 2024. Year differs from the manuscript citation; register uses the documented source year.</x:v>
      </x:c>
    </x:row>
    <x:row r="50" ht="61" customHeight="1">
      <x:c r="A50" s="85" t="str">
        <x:v>R049</x:v>
      </x:c>
      <x:c r="B50" s="85" t="str">
        <x:v>VLA</x:v>
      </x:c>
      <x:c r="C50" s="85" t="str">
        <x:v>RoboMamba</x:v>
      </x:c>
      <x:c r="D50" s="91" t="n">
        <x:v>2024</x:v>
      </x:c>
      <x:c r="E50" s="85" t="str">
        <x:v>RoboMamba: Multimodal State Space Model for Efficient Robot Reasoning and Manipulation</x:v>
      </x:c>
      <x:c r="F50" s="85" t="str">
        <x:v>RoboMamba uses a Mamba state-space backbone for multimodal reasoning and robot-action prediction. It explores efficient language-conditioned manipulation through this alternative sequence-model architecture.</x:v>
      </x:c>
      <x:c r="G50" s="92" t="str">
        <x:v>https://arxiv.org/abs/2406.04339</x:v>
      </x:c>
      <x:c r="H50" s="85" t="str">
        <x:v>Proposed include</x:v>
      </x:c>
      <x:c r="I50" s="93" t="str">
        <x:v>Include</x:v>
      </x:c>
      <x:c r="J50" s="85" t="str">
        <x:v>Paper</x:v>
      </x:c>
      <x:c r="K50" s="85" t="str">
        <x:v>VLA policy</x:v>
      </x:c>
      <x:c r="L50" s="85" t="str"/>
      <x:c r="M50" s="85" t="str">
        <x:v>manipulation</x:v>
      </x:c>
      <x:c r="N50" s="85" t="str">
        <x:v>Current manuscript</x:v>
      </x:c>
      <x:c r="O50" s="85" t="str">
        <x:v>arXiv:2406.04339</x:v>
      </x:c>
      <x:c r="P50" s="85" t="str">
        <x:v>Prior primary-source check retained</x:v>
      </x:c>
      <x:c r="Q50" s="85" t="str"/>
      <x:c r="R50" s="85" t="str">
        <x:v>Established companion catalogue primary-source trace; not freshly rechecked this update.</x:v>
      </x:c>
      <x:c r="S50" s="85" t="str">
        <x:v>robomamba</x:v>
      </x:c>
      <x:c r="T50" s="85" t="str">
        <x:v>Companion model catalogue; SectionIV; Table2/tab:vla-master; tab:vla-master</x:v>
      </x:c>
      <x:c r="U50" s="85" t="str">
        <x:v>Primary report proposes a visually and linguistically conditioned manipulation policy or a directly evaluated VLA training/inference method.</x:v>
      </x:c>
      <x:c r="V50" s="85" t="str"/>
    </x:row>
    <x:row r="51" ht="61" customHeight="1">
      <x:c r="A51" s="85" t="str">
        <x:v>R050</x:v>
      </x:c>
      <x:c r="B51" s="85" t="str">
        <x:v>VLA</x:v>
      </x:c>
      <x:c r="C51" s="85" t="str">
        <x:v>RoboVLMs</x:v>
      </x:c>
      <x:c r="D51" s="91" t="n">
        <x:v>2024</x:v>
      </x:c>
      <x:c r="E51" s="85" t="str">
        <x:v>What Matters in Building Vision-Language-Action Models for Generalist Robots</x:v>
      </x:c>
      <x:c r="F51" s="85" t="str">
        <x:v>Studies how VLM backbones, policy architectures and cross-embodiment data affect manipulation policies. The RoboVLMs framework implements and evaluates these combinations in simulation and on real robots.</x:v>
      </x:c>
      <x:c r="G51" s="92" t="str">
        <x:v>https://arxiv.org/abs/2412.14058</x:v>
      </x:c>
      <x:c r="H51" s="85" t="str">
        <x:v>Proposed include</x:v>
      </x:c>
      <x:c r="I51" s="93" t="str">
        <x:v>Include</x:v>
      </x:c>
      <x:c r="J51" s="85" t="str">
        <x:v>Paper</x:v>
      </x:c>
      <x:c r="K51" s="85" t="str">
        <x:v>VLA design study and policy family</x:v>
      </x:c>
      <x:c r="L51" s="85" t="str"/>
      <x:c r="M51" s="85" t="str">
        <x:v>manipulation</x:v>
      </x:c>
      <x:c r="N51" s="85" t="str">
        <x:v>Additional search</x:v>
      </x:c>
      <x:c r="O51" s="85" t="str">
        <x:v>arXiv:2412.14058</x:v>
      </x:c>
      <x:c r="P51" s="85" t="str">
        <x:v>Primary source checked this update</x:v>
      </x:c>
      <x:c r="Q51" s="85" t="str">
        <x:v>2026-10-01</x:v>
      </x:c>
      <x:c r="R51" s="85" t="str">
        <x:v>arXiv abstract, title and submission history; first-report year used.</x:v>
      </x:c>
      <x:c r="S51" s="85" t="str">
        <x:v>robovlms</x:v>
      </x:c>
      <x:c r="T51" s="85" t="str"/>
      <x:c r="U51" s="85" t="str">
        <x:v>Fresh primary-source search identifies an additional manipulation VLA report absent from the current bibliography and companion catalogue.</x:v>
      </x:c>
      <x:c r="V51" s="85" t="str">
        <x:v>Supplementary targeted search, not an exhaustive systematic search. </x:v>
      </x:c>
    </x:row>
    <x:row r="52" ht="61" customHeight="1">
      <x:c r="A52" s="85" t="str">
        <x:v>R051</x:v>
      </x:c>
      <x:c r="B52" s="85" t="str">
        <x:v>VLA</x:v>
      </x:c>
      <x:c r="C52" s="85" t="str">
        <x:v>RT-2</x:v>
      </x:c>
      <x:c r="D52" s="91" t="n">
        <x:v>2023</x:v>
      </x:c>
      <x:c r="E52" s="85" t="str">
        <x:v>RT-2: Vision-Language-Action Models Transfer Web Knowledge to Robotic Control</x:v>
      </x:c>
      <x:c r="F52" s="85" t="str">
        <x:v>RT-2 represents robot actions as tokens and co-trains on robotic trajectories and vision-language tasks. It studies how knowledge learned from web data transfers into language-conditioned manipulation.</x:v>
      </x:c>
      <x:c r="G52" s="92" t="str">
        <x:v>https://arxiv.org/abs/2307.15818</x:v>
      </x:c>
      <x:c r="H52" s="85" t="str">
        <x:v>Proposed include</x:v>
      </x:c>
      <x:c r="I52" s="93" t="str">
        <x:v>Include</x:v>
      </x:c>
      <x:c r="J52" s="85" t="str">
        <x:v>Paper</x:v>
      </x:c>
      <x:c r="K52" s="85" t="str">
        <x:v>VLA policy</x:v>
      </x:c>
      <x:c r="L52" s="85" t="str"/>
      <x:c r="M52" s="85" t="str">
        <x:v>manipulation</x:v>
      </x:c>
      <x:c r="N52" s="85" t="str">
        <x:v>Current manuscript</x:v>
      </x:c>
      <x:c r="O52" s="85" t="str">
        <x:v>arXiv:2307.15818</x:v>
      </x:c>
      <x:c r="P52" s="85" t="str">
        <x:v>Prior primary-source check retained</x:v>
      </x:c>
      <x:c r="Q52" s="85" t="str"/>
      <x:c r="R52" s="85" t="str">
        <x:v>Established companion catalogue primary-source trace; not freshly rechecked this update.</x:v>
      </x:c>
      <x:c r="S52" s="85" t="str">
        <x:v>rt2</x:v>
      </x:c>
      <x:c r="T52" s="85" t="str">
        <x:v>Companion model catalogue; SectionIV; Table2/tab:vla-master; tab:vla-master</x:v>
      </x:c>
      <x:c r="U52" s="85" t="str">
        <x:v>Primary report proposes a visually and linguistically conditioned manipulation policy or a directly evaluated VLA training/inference method.</x:v>
      </x:c>
      <x:c r="V52" s="85" t="str"/>
    </x:row>
    <x:row r="53" ht="61" customHeight="1">
      <x:c r="A53" s="85" t="str">
        <x:v>R052</x:v>
      </x:c>
      <x:c r="B53" s="85" t="str">
        <x:v>VLA</x:v>
      </x:c>
      <x:c r="C53" s="85" t="str">
        <x:v>RT-H</x:v>
      </x:c>
      <x:c r="D53" s="91" t="n">
        <x:v>2024</x:v>
      </x:c>
      <x:c r="E53" s="85" t="str">
        <x:v>RT-H: Action Hierarchies Using Language</x:v>
      </x:c>
      <x:c r="F53" s="85" t="str">
        <x:v>RT-H inserts a language-based action hierarchy between task instructions and low-level robot commands. Intermediate motion descriptions organize execution and provide a structured interface for control.</x:v>
      </x:c>
      <x:c r="G53" s="92" t="str">
        <x:v>https://arxiv.org/abs/2403.01823</x:v>
      </x:c>
      <x:c r="H53" s="85" t="str">
        <x:v>Proposed include</x:v>
      </x:c>
      <x:c r="I53" s="93" t="str">
        <x:v>Include</x:v>
      </x:c>
      <x:c r="J53" s="85" t="str">
        <x:v>Paper</x:v>
      </x:c>
      <x:c r="K53" s="85" t="str">
        <x:v>VLA policy</x:v>
      </x:c>
      <x:c r="L53" s="85" t="str"/>
      <x:c r="M53" s="85" t="str">
        <x:v>manipulation</x:v>
      </x:c>
      <x:c r="N53" s="85" t="str">
        <x:v>Current manuscript</x:v>
      </x:c>
      <x:c r="O53" s="85" t="str">
        <x:v>arXiv:2403.01823</x:v>
      </x:c>
      <x:c r="P53" s="85" t="str">
        <x:v>Prior primary-source check retained</x:v>
      </x:c>
      <x:c r="Q53" s="85" t="str"/>
      <x:c r="R53" s="85" t="str">
        <x:v>Established companion catalogue primary-source trace; not freshly rechecked this update.</x:v>
      </x:c>
      <x:c r="S53" s="85" t="str">
        <x:v>rth</x:v>
      </x:c>
      <x:c r="T53" s="85" t="str">
        <x:v>Companion model catalogue; SectionIV</x:v>
      </x:c>
      <x:c r="U53" s="85" t="str">
        <x:v>Primary report proposes a visually and linguistically conditioned manipulation policy or a directly evaluated VLA training/inference method.</x:v>
      </x:c>
      <x:c r="V53" s="85" t="str"/>
    </x:row>
    <x:row r="54" ht="61" customHeight="1">
      <x:c r="A54" s="85" t="str">
        <x:v>R053</x:v>
      </x:c>
      <x:c r="B54" s="85" t="str">
        <x:v>VLA</x:v>
      </x:c>
      <x:c r="C54" s="85" t="str">
        <x:v>RVT (language-conditioned 3D policy)</x:v>
      </x:c>
      <x:c r="D54" s="91" t="n">
        <x:v>2023</x:v>
      </x:c>
      <x:c r="E54" s="85" t="str">
        <x:v>RVT: Robotic View Transformer for 3D Object Manipulation</x:v>
      </x:c>
      <x:c r="F54" s="85" t="str">
        <x:v>RVT combines rendered views of a three-dimensional scene with language-goal embeddings in a transformer. The resulting representation supports spatially grounded manipulation from limited demonstrations.</x:v>
      </x:c>
      <x:c r="G54" s="92" t="str">
        <x:v>https://arxiv.org/abs/2306.14896</x:v>
      </x:c>
      <x:c r="H54" s="85" t="str">
        <x:v>Proposed include</x:v>
      </x:c>
      <x:c r="I54" s="93" t="str">
        <x:v>Include</x:v>
      </x:c>
      <x:c r="J54" s="85" t="str">
        <x:v>Paper</x:v>
      </x:c>
      <x:c r="K54" s="85" t="str">
        <x:v>Language-conditioned spatial manipulation policy</x:v>
      </x:c>
      <x:c r="L54" s="85" t="str"/>
      <x:c r="M54" s="85" t="str">
        <x:v>manipulation</x:v>
      </x:c>
      <x:c r="N54" s="85" t="str">
        <x:v>Current manuscript</x:v>
      </x:c>
      <x:c r="O54" s="85" t="str">
        <x:v>arXiv:2306.14896</x:v>
      </x:c>
      <x:c r="P54" s="85" t="str">
        <x:v>Prior primary-source check retained</x:v>
      </x:c>
      <x:c r="Q54" s="85" t="str"/>
      <x:c r="R54" s="85" t="str">
        <x:v>Established companion catalogue primary-source trace; not freshly rechecked this update.</x:v>
      </x:c>
      <x:c r="S54" s="85" t="str">
        <x:v>rvt</x:v>
      </x:c>
      <x:c r="T54" s="85" t="str">
        <x:v>Companion model catalogue; SectionIV</x:v>
      </x:c>
      <x:c r="U54" s="85" t="str">
        <x:v>Primary report proposes a visually and linguistically conditioned manipulation policy or a directly evaluated VLA training/inference method.</x:v>
      </x:c>
      <x:c r="V54" s="85" t="str"/>
    </x:row>
    <x:row r="55" ht="61" customHeight="1">
      <x:c r="A55" s="85" t="str">
        <x:v>R054</x:v>
      </x:c>
      <x:c r="B55" s="85" t="str">
        <x:v>VLA</x:v>
      </x:c>
      <x:c r="C55" s="85" t="str">
        <x:v>RVT-2</x:v>
      </x:c>
      <x:c r="D55" s="91" t="n">
        <x:v>2024</x:v>
      </x:c>
      <x:c r="E55" s="85" t="str">
        <x:v>RVT-2: Learning Precise Manipulation from Few Demonstrations</x:v>
      </x:c>
      <x:c r="F55" s="85" t="str">
        <x:v>RVT-2 improves the architecture and execution of language-conditioned multi-view manipulation policies. It emphasizes precise control and efficient learning from few demonstrations.</x:v>
      </x:c>
      <x:c r="G55" s="92" t="str">
        <x:v>https://arxiv.org/abs/2406.08545</x:v>
      </x:c>
      <x:c r="H55" s="85" t="str">
        <x:v>Proposed include</x:v>
      </x:c>
      <x:c r="I55" s="93" t="str">
        <x:v>Include</x:v>
      </x:c>
      <x:c r="J55" s="85" t="str">
        <x:v>Paper</x:v>
      </x:c>
      <x:c r="K55" s="85" t="str">
        <x:v>Language-conditioned spatial manipulation policy</x:v>
      </x:c>
      <x:c r="L55" s="85" t="str"/>
      <x:c r="M55" s="85" t="str">
        <x:v>manipulation</x:v>
      </x:c>
      <x:c r="N55" s="85" t="str">
        <x:v>Current manuscript</x:v>
      </x:c>
      <x:c r="O55" s="85" t="str">
        <x:v>arXiv:2406.08545</x:v>
      </x:c>
      <x:c r="P55" s="85" t="str">
        <x:v>Prior primary-source check retained</x:v>
      </x:c>
      <x:c r="Q55" s="85" t="str"/>
      <x:c r="R55" s="85" t="str">
        <x:v>Established companion catalogue primary-source trace; not freshly rechecked this update.</x:v>
      </x:c>
      <x:c r="S55" s="85" t="str">
        <x:v>rvt2</x:v>
      </x:c>
      <x:c r="T55" s="85" t="str">
        <x:v>Companion model catalogue; SectionIV</x:v>
      </x:c>
      <x:c r="U55" s="85" t="str">
        <x:v>Primary report proposes a visually and linguistically conditioned manipulation policy or a directly evaluated VLA training/inference method.</x:v>
      </x:c>
      <x:c r="V55" s="85" t="str"/>
    </x:row>
    <x:row r="56" ht="61" customHeight="1">
      <x:c r="A56" s="85" t="str">
        <x:v>R055</x:v>
      </x:c>
      <x:c r="B56" s="85" t="str">
        <x:v>VLA</x:v>
      </x:c>
      <x:c r="C56" s="85" t="str">
        <x:v>SimpleVLA-RL</x:v>
      </x:c>
      <x:c r="D56" s="91" t="n">
        <x:v>2025</x:v>
      </x:c>
      <x:c r="E56" s="85" t="str">
        <x:v>SimpleVLA-RL: Scaling VLA Training via Reinforcement Learning</x:v>
      </x:c>
      <x:c r="F56" s="85" t="str">
        <x:v>SimpleVLA-RL adapts VLA policies through online reinforcement learning with stochastic action-token decoding. It evaluates how interaction changes performance under different demonstration budgets.</x:v>
      </x:c>
      <x:c r="G56" s="92" t="str">
        <x:v>https://arxiv.org/abs/2509.09674</x:v>
      </x:c>
      <x:c r="H56" s="85" t="str">
        <x:v>Proposed include</x:v>
      </x:c>
      <x:c r="I56" s="93" t="str">
        <x:v>Include</x:v>
      </x:c>
      <x:c r="J56" s="85" t="str">
        <x:v>Paper</x:v>
      </x:c>
      <x:c r="K56" s="85" t="str">
        <x:v>VLA reinforcement-learning / preference method</x:v>
      </x:c>
      <x:c r="L56" s="85" t="str">
        <x:v>Post-training</x:v>
      </x:c>
      <x:c r="M56" s="85" t="str">
        <x:v>manipulation</x:v>
      </x:c>
      <x:c r="N56" s="85" t="str">
        <x:v>Current manuscript</x:v>
      </x:c>
      <x:c r="O56" s="85" t="str">
        <x:v>arXiv:2509.09674</x:v>
      </x:c>
      <x:c r="P56" s="85" t="str">
        <x:v>Prior primary-source check retained</x:v>
      </x:c>
      <x:c r="Q56" s="85" t="str"/>
      <x:c r="R56" s="85" t="str">
        <x:v>Established companion catalogue primary-source trace; not freshly rechecked this update.</x:v>
      </x:c>
      <x:c r="S56" s="85" t="str">
        <x:v>simplevlarl</x:v>
      </x:c>
      <x:c r="T56" s="85" t="str">
        <x:v>Companion model catalogue; SectionIV; Table2/tab:vla-master; tab:vla-master</x:v>
      </x:c>
      <x:c r="U56" s="85" t="str">
        <x:v>Primary report proposes a visually and linguistically conditioned manipulation policy or a directly evaluated VLA training/inference method.</x:v>
      </x:c>
      <x:c r="V56" s="85" t="str">
        <x:v>Year uses first arXiv report (2025); existing reference uses publication year 2026. Year differs from the manuscript citation; register uses the documented source year.</x:v>
      </x:c>
    </x:row>
    <x:row r="57" ht="61" customHeight="1">
      <x:c r="A57" s="85" t="str">
        <x:v>R056</x:v>
      </x:c>
      <x:c r="B57" s="85" t="str">
        <x:v>VLA</x:v>
      </x:c>
      <x:c r="C57" s="85" t="str">
        <x:v>SmolVLA</x:v>
      </x:c>
      <x:c r="D57" s="91" t="n">
        <x:v>2025</x:v>
      </x:c>
      <x:c r="E57" s="85" t="str">
        <x:v>SmolVLA: A Vision-Language-Action Model for Affordable and Efficient Robotics</x:v>
      </x:c>
      <x:c r="F57" s="85" t="str">
        <x:v>SmolVLA uses a compact vision-language backbone and a flow-matching action expert. Its asynchronous inference design supports robot deployment with modest computational resources.</x:v>
      </x:c>
      <x:c r="G57" s="92" t="str">
        <x:v>https://arxiv.org/abs/2506.01844</x:v>
      </x:c>
      <x:c r="H57" s="85" t="str">
        <x:v>Proposed include</x:v>
      </x:c>
      <x:c r="I57" s="93" t="str">
        <x:v>Include</x:v>
      </x:c>
      <x:c r="J57" s="85" t="str">
        <x:v>Paper</x:v>
      </x:c>
      <x:c r="K57" s="85" t="str">
        <x:v>VLA policy</x:v>
      </x:c>
      <x:c r="L57" s="85" t="str"/>
      <x:c r="M57" s="85" t="str">
        <x:v>manipulation</x:v>
      </x:c>
      <x:c r="N57" s="85" t="str">
        <x:v>Current manuscript</x:v>
      </x:c>
      <x:c r="O57" s="85" t="str">
        <x:v>arXiv:2506.01844</x:v>
      </x:c>
      <x:c r="P57" s="85" t="str">
        <x:v>Prior primary-source check retained</x:v>
      </x:c>
      <x:c r="Q57" s="85" t="str"/>
      <x:c r="R57" s="85" t="str">
        <x:v>Established companion catalogue primary-source trace; not freshly rechecked this update.</x:v>
      </x:c>
      <x:c r="S57" s="85" t="str">
        <x:v>smolvla</x:v>
      </x:c>
      <x:c r="T57" s="85" t="str">
        <x:v>Companion model catalogue; SectionIV; Table2/tab:vla-master; tab:vla-master</x:v>
      </x:c>
      <x:c r="U57" s="85" t="str">
        <x:v>Primary report proposes a visually and linguistically conditioned manipulation policy or a directly evaluated VLA training/inference method.</x:v>
      </x:c>
      <x:c r="V57" s="85" t="str"/>
    </x:row>
    <x:row r="58" ht="61" customHeight="1">
      <x:c r="A58" s="85" t="str">
        <x:v>R057</x:v>
      </x:c>
      <x:c r="B58" s="85" t="str">
        <x:v>VLA</x:v>
      </x:c>
      <x:c r="C58" s="85" t="str">
        <x:v>SpatialVLA</x:v>
      </x:c>
      <x:c r="D58" s="91" t="n">
        <x:v>2025</x:v>
      </x:c>
      <x:c r="E58" s="85" t="str">
        <x:v>SpatialVLA: Exploring Spatial Representations for Visual-Language-Action Models</x:v>
      </x:c>
      <x:c r="F58" s="85" t="str">
        <x:v>SpatialVLA uses geometric visual representations and spatially structured action tokens. These representations connect scene geometry with language-conditioned manipulation commands.</x:v>
      </x:c>
      <x:c r="G58" s="92" t="str">
        <x:v>https://arxiv.org/abs/2501.15830</x:v>
      </x:c>
      <x:c r="H58" s="85" t="str">
        <x:v>Proposed include</x:v>
      </x:c>
      <x:c r="I58" s="93" t="str">
        <x:v>Include</x:v>
      </x:c>
      <x:c r="J58" s="85" t="str">
        <x:v>Paper</x:v>
      </x:c>
      <x:c r="K58" s="85" t="str">
        <x:v>Language-conditioned spatial manipulation policy</x:v>
      </x:c>
      <x:c r="L58" s="85" t="str"/>
      <x:c r="M58" s="85" t="str">
        <x:v>manipulation</x:v>
      </x:c>
      <x:c r="N58" s="85" t="str">
        <x:v>Current manuscript</x:v>
      </x:c>
      <x:c r="O58" s="85" t="str">
        <x:v>arXiv:2501.15830</x:v>
      </x:c>
      <x:c r="P58" s="85" t="str">
        <x:v>Prior primary-source check retained</x:v>
      </x:c>
      <x:c r="Q58" s="85" t="str"/>
      <x:c r="R58" s="85" t="str">
        <x:v>Established companion catalogue primary-source trace; not freshly rechecked this update.</x:v>
      </x:c>
      <x:c r="S58" s="85" t="str">
        <x:v>spatialvla</x:v>
      </x:c>
      <x:c r="T58" s="85" t="str">
        <x:v>Companion model catalogue; SectionIV; Table2/tab:vla-master; tab:vla-master</x:v>
      </x:c>
      <x:c r="U58" s="85" t="str">
        <x:v>Primary report proposes a visually and linguistically conditioned manipulation policy or a directly evaluated VLA training/inference method.</x:v>
      </x:c>
      <x:c r="V58" s="85" t="str"/>
    </x:row>
    <x:row r="59" ht="61" customHeight="1">
      <x:c r="A59" s="85" t="str">
        <x:v>R058</x:v>
      </x:c>
      <x:c r="B59" s="85" t="str">
        <x:v>VLA</x:v>
      </x:c>
      <x:c r="C59" s="85" t="str">
        <x:v>Tactile-VLA</x:v>
      </x:c>
      <x:c r="D59" s="91" t="n">
        <x:v>2025</x:v>
      </x:c>
      <x:c r="E59" s="85" t="str">
        <x:v>Tactile-VLA: Unlocking Vision-Language-Action Model's Physical Knowledge for Tactile Generalization</x:v>
      </x:c>
      <x:c r="F59" s="85" t="str">
        <x:v>Tactile-VLA combines tactile feedback and multimodal reasoning with a hybrid position-force controller. It connects contact sensing to robot action selection for physical interaction.</x:v>
      </x:c>
      <x:c r="G59" s="92" t="str">
        <x:v>https://arxiv.org/abs/2507.09160</x:v>
      </x:c>
      <x:c r="H59" s="85" t="str">
        <x:v>Proposed include</x:v>
      </x:c>
      <x:c r="I59" s="93" t="str">
        <x:v>Include</x:v>
      </x:c>
      <x:c r="J59" s="85" t="str">
        <x:v>Paper</x:v>
      </x:c>
      <x:c r="K59" s="85" t="str">
        <x:v>VLA policy</x:v>
      </x:c>
      <x:c r="L59" s="85" t="str"/>
      <x:c r="M59" s="85" t="str">
        <x:v>manipulation</x:v>
      </x:c>
      <x:c r="N59" s="85" t="str">
        <x:v>Current manuscript</x:v>
      </x:c>
      <x:c r="O59" s="85" t="str">
        <x:v>arXiv:2507.09160</x:v>
      </x:c>
      <x:c r="P59" s="85" t="str">
        <x:v>Prior primary-source check retained</x:v>
      </x:c>
      <x:c r="Q59" s="85" t="str"/>
      <x:c r="R59" s="85" t="str">
        <x:v>Established companion catalogue primary-source trace; not freshly rechecked this update.</x:v>
      </x:c>
      <x:c r="S59" s="85" t="str">
        <x:v>tactilevla</x:v>
      </x:c>
      <x:c r="T59" s="85" t="str">
        <x:v>Companion model catalogue; Other manuscript section</x:v>
      </x:c>
      <x:c r="U59" s="85" t="str">
        <x:v>Primary report proposes a visually and linguistically conditioned manipulation policy or a directly evaluated VLA training/inference method.</x:v>
      </x:c>
      <x:c r="V59" s="85" t="str"/>
    </x:row>
    <x:row r="60" ht="61" customHeight="1">
      <x:c r="A60" s="85" t="str">
        <x:v>R059</x:v>
      </x:c>
      <x:c r="B60" s="85" t="str">
        <x:v>VLA</x:v>
      </x:c>
      <x:c r="C60" s="85" t="str">
        <x:v>TinyVLA</x:v>
      </x:c>
      <x:c r="D60" s="91" t="n">
        <x:v>2024</x:v>
      </x:c>
      <x:c r="E60" s="85" t="str">
        <x:v>TinyVLA: Towards Fast, Data-Efficient Vision-Language-Action Models for Robotic Manipulation</x:v>
      </x:c>
      <x:c r="F60" s="85" t="str">
        <x:v>TinyVLA combines a compact multimodal backbone with a diffusion action decoder. It targets manipulation learning with lower computation and fewer demonstrations.</x:v>
      </x:c>
      <x:c r="G60" s="92" t="str">
        <x:v>https://arxiv.org/abs/2409.12514</x:v>
      </x:c>
      <x:c r="H60" s="85" t="str">
        <x:v>Proposed include</x:v>
      </x:c>
      <x:c r="I60" s="93" t="str">
        <x:v>Include</x:v>
      </x:c>
      <x:c r="J60" s="85" t="str">
        <x:v>Paper</x:v>
      </x:c>
      <x:c r="K60" s="85" t="str">
        <x:v>VLA policy</x:v>
      </x:c>
      <x:c r="L60" s="85" t="str"/>
      <x:c r="M60" s="85" t="str">
        <x:v>manipulation</x:v>
      </x:c>
      <x:c r="N60" s="85" t="str">
        <x:v>Current manuscript</x:v>
      </x:c>
      <x:c r="O60" s="85" t="str">
        <x:v>arXiv:2409.12514</x:v>
      </x:c>
      <x:c r="P60" s="85" t="str">
        <x:v>Prior primary-source check retained</x:v>
      </x:c>
      <x:c r="Q60" s="85" t="str"/>
      <x:c r="R60" s="85" t="str">
        <x:v>Established companion catalogue primary-source trace; not freshly rechecked this update.</x:v>
      </x:c>
      <x:c r="S60" s="85" t="str">
        <x:v>tinyvla</x:v>
      </x:c>
      <x:c r="T60" s="85" t="str">
        <x:v>Companion model catalogue; SectionIV; Table2/tab:vla-master; tab:vla-master</x:v>
      </x:c>
      <x:c r="U60" s="85" t="str">
        <x:v>Primary report proposes a visually and linguistically conditioned manipulation policy or a directly evaluated VLA training/inference method.</x:v>
      </x:c>
      <x:c r="V60" s="85" t="str">
        <x:v>Year uses first arXiv report (2024); existing reference uses publication year 2025. Year differs from the manuscript citation; register uses the documented source year.</x:v>
      </x:c>
    </x:row>
    <x:row r="61" ht="61" customHeight="1">
      <x:c r="A61" s="85" t="str">
        <x:v>R060</x:v>
      </x:c>
      <x:c r="B61" s="85" t="str">
        <x:v>VLA</x:v>
      </x:c>
      <x:c r="C61" s="85" t="str">
        <x:v>UniVLA</x:v>
      </x:c>
      <x:c r="D61" s="91" t="n">
        <x:v>2025</x:v>
      </x:c>
      <x:c r="E61" s="85" t="str">
        <x:v>UniVLA: Learning to Act Anywhere with Task-centric Latent Actions</x:v>
      </x:c>
      <x:c r="F61" s="85" t="str">
        <x:v>Learns task-centered latent actions from video using language and visual features to separate task-relevant motion. The learned representations are decoded into actions for different robots and evaluated on manipulation and navigation tasks.</x:v>
      </x:c>
      <x:c r="G61" s="92" t="str">
        <x:v>https://arxiv.org/abs/2505.06111</x:v>
      </x:c>
      <x:c r="H61" s="85" t="str">
        <x:v>Proposed include</x:v>
      </x:c>
      <x:c r="I61" s="93" t="str">
        <x:v>Include</x:v>
      </x:c>
      <x:c r="J61" s="85" t="str">
        <x:v>Paper</x:v>
      </x:c>
      <x:c r="K61" s="85" t="str">
        <x:v>Latent-action VLA policy</x:v>
      </x:c>
      <x:c r="L61" s="85" t="str"/>
      <x:c r="M61" s="85" t="str">
        <x:v>general robotics</x:v>
      </x:c>
      <x:c r="N61" s="85" t="str">
        <x:v>Additional search</x:v>
      </x:c>
      <x:c r="O61" s="85" t="str">
        <x:v>arXiv:2505.06111</x:v>
      </x:c>
      <x:c r="P61" s="85" t="str">
        <x:v>Primary source checked this update</x:v>
      </x:c>
      <x:c r="Q61" s="85" t="str">
        <x:v>2026-10-01</x:v>
      </x:c>
      <x:c r="R61" s="85" t="str">
        <x:v>arXiv abstract, title and submission history; first-report year used.</x:v>
      </x:c>
      <x:c r="S61" s="85" t="str">
        <x:v>univla</x:v>
      </x:c>
      <x:c r="T61" s="85" t="str"/>
      <x:c r="U61" s="85" t="str">
        <x:v>Fresh primary-source search identifies an additional manipulation VLA report absent from the current bibliography and companion catalogue.</x:v>
      </x:c>
      <x:c r="V61" s="85" t="str">
        <x:v>Supplementary targeted search, not an exhaustive systematic search. </x:v>
      </x:c>
    </x:row>
    <x:row r="62" ht="61" customHeight="1">
      <x:c r="A62" s="85" t="str">
        <x:v>R061</x:v>
      </x:c>
      <x:c r="B62" s="85" t="str">
        <x:v>VLA</x:v>
      </x:c>
      <x:c r="C62" s="85" t="str">
        <x:v>VLA-0</x:v>
      </x:c>
      <x:c r="D62" s="91" t="n">
        <x:v>2025</x:v>
      </x:c>
      <x:c r="E62" s="85" t="str">
        <x:v>VLA-0: Building State-of-the-Art VLAs with Zero Modification</x:v>
      </x:c>
      <x:c r="F62" s="85" t="str">
        <x:v>Represents robot actions directly as text in an existing vision-language model without adding a separate action head or action vocabulary. It tests training and decoding design choices on LIBERO and real-robot manipulation.</x:v>
      </x:c>
      <x:c r="G62" s="92" t="str">
        <x:v>https://arxiv.org/abs/2510.13054</x:v>
      </x:c>
      <x:c r="H62" s="85" t="str">
        <x:v>Proposed include</x:v>
      </x:c>
      <x:c r="I62" s="93" t="str">
        <x:v>Include</x:v>
      </x:c>
      <x:c r="J62" s="85" t="str">
        <x:v>Paper</x:v>
      </x:c>
      <x:c r="K62" s="85" t="str">
        <x:v>Action-as-text VLA policy</x:v>
      </x:c>
      <x:c r="L62" s="85" t="str"/>
      <x:c r="M62" s="85" t="str">
        <x:v>manipulation</x:v>
      </x:c>
      <x:c r="N62" s="85" t="str">
        <x:v>Additional search</x:v>
      </x:c>
      <x:c r="O62" s="85" t="str">
        <x:v>arXiv:2510.13054</x:v>
      </x:c>
      <x:c r="P62" s="85" t="str">
        <x:v>Primary source checked this update</x:v>
      </x:c>
      <x:c r="Q62" s="85" t="str">
        <x:v>2026-10-01</x:v>
      </x:c>
      <x:c r="R62" s="85" t="str">
        <x:v>arXiv abstract, title and submission history; first-report year used.</x:v>
      </x:c>
      <x:c r="S62" s="85" t="str">
        <x:v>vla0</x:v>
      </x:c>
      <x:c r="T62" s="85" t="str"/>
      <x:c r="U62" s="85" t="str">
        <x:v>Fresh primary-source search identifies an additional manipulation VLA report absent from the current bibliography and companion catalogue.</x:v>
      </x:c>
      <x:c r="V62" s="85" t="str">
        <x:v>Supplementary targeted search, not an exhaustive systematic search. </x:v>
      </x:c>
    </x:row>
    <x:row r="63" ht="61" customHeight="1">
      <x:c r="A63" s="85" t="str">
        <x:v>R062</x:v>
      </x:c>
      <x:c r="B63" s="85" t="str">
        <x:v>VLA</x:v>
      </x:c>
      <x:c r="C63" s="85" t="str">
        <x:v>VLA-Adapter</x:v>
      </x:c>
      <x:c r="D63" s="91" t="n">
        <x:v>2025</x:v>
      </x:c>
      <x:c r="E63" s="85" t="str">
        <x:v>VLA-Adapter: An Effective Paradigm for Tiny-Scale Vision-Language-Action Model</x:v>
      </x:c>
      <x:c r="F63" s="85" t="str">
        <x:v>Uses Bridge Attention to pass selected vision-language features into a lightweight action policy. It studies efficient VLA adaptation without large-scale robot pretraining and evaluates simulation and real-robot manipulation.</x:v>
      </x:c>
      <x:c r="G63" s="92" t="str">
        <x:v>https://arxiv.org/abs/2509.09372</x:v>
      </x:c>
      <x:c r="H63" s="85" t="str">
        <x:v>Proposed include</x:v>
      </x:c>
      <x:c r="I63" s="93" t="str">
        <x:v>Include</x:v>
      </x:c>
      <x:c r="J63" s="85" t="str">
        <x:v>Paper</x:v>
      </x:c>
      <x:c r="K63" s="85" t="str">
        <x:v>VLA architecture / adaptation method</x:v>
      </x:c>
      <x:c r="L63" s="85" t="str"/>
      <x:c r="M63" s="85" t="str">
        <x:v>manipulation</x:v>
      </x:c>
      <x:c r="N63" s="85" t="str">
        <x:v>Additional search</x:v>
      </x:c>
      <x:c r="O63" s="85" t="str">
        <x:v>arXiv:2509.09372</x:v>
      </x:c>
      <x:c r="P63" s="85" t="str">
        <x:v>Primary source checked this update</x:v>
      </x:c>
      <x:c r="Q63" s="85" t="str">
        <x:v>2026-10-01</x:v>
      </x:c>
      <x:c r="R63" s="85" t="str">
        <x:v>arXiv abstract, title and submission history; first-report year used.</x:v>
      </x:c>
      <x:c r="S63" s="85" t="str">
        <x:v>vlaadapter</x:v>
      </x:c>
      <x:c r="T63" s="85" t="str"/>
      <x:c r="U63" s="85" t="str">
        <x:v>Fresh primary-source search identifies an additional manipulation VLA report absent from the current bibliography and companion catalogue.</x:v>
      </x:c>
      <x:c r="V63" s="85" t="str">
        <x:v>Supplementary targeted search, not an exhaustive systematic search. </x:v>
      </x:c>
    </x:row>
    <x:row r="64" ht="61" customHeight="1">
      <x:c r="A64" s="85" t="str">
        <x:v>R063</x:v>
      </x:c>
      <x:c r="B64" s="85" t="str">
        <x:v>VLA</x:v>
      </x:c>
      <x:c r="C64" s="85" t="str">
        <x:v>VLA-Cache</x:v>
      </x:c>
      <x:c r="D64" s="91" t="n">
        <x:v>2025</x:v>
      </x:c>
      <x:c r="E64" s="85" t="str">
        <x:v>VLA-Cache: Towards Efficient Vision-Language-Action Model via Adaptive Token Caching</x:v>
      </x:c>
      <x:c r="F64" s="85" t="str">
        <x:v>VLA-Cache reuses visual tokens that change little between observations while recomputing task-relevant information. This reduces repeated inference work in an existing VLA control pipeline.</x:v>
      </x:c>
      <x:c r="G64" s="92" t="str">
        <x:v>https://arxiv.org/abs/2502.02175</x:v>
      </x:c>
      <x:c r="H64" s="85" t="str">
        <x:v>Proposed include</x:v>
      </x:c>
      <x:c r="I64" s="93" t="str">
        <x:v>Include</x:v>
      </x:c>
      <x:c r="J64" s="85" t="str">
        <x:v>Paper</x:v>
      </x:c>
      <x:c r="K64" s="85" t="str">
        <x:v>VLA training / inference method</x:v>
      </x:c>
      <x:c r="L64" s="85" t="str">
        <x:v>Efficiency</x:v>
      </x:c>
      <x:c r="M64" s="85" t="str">
        <x:v>manipulation</x:v>
      </x:c>
      <x:c r="N64" s="85" t="str">
        <x:v>Current manuscript</x:v>
      </x:c>
      <x:c r="O64" s="85" t="str">
        <x:v>arXiv:2502.02175</x:v>
      </x:c>
      <x:c r="P64" s="85" t="str">
        <x:v>Prior primary-source check retained</x:v>
      </x:c>
      <x:c r="Q64" s="85" t="str"/>
      <x:c r="R64" s="85" t="str">
        <x:v>Established companion catalogue primary-source trace; not freshly rechecked this update.</x:v>
      </x:c>
      <x:c r="S64" s="85" t="str">
        <x:v>vlacache</x:v>
      </x:c>
      <x:c r="T64" s="85" t="str">
        <x:v>Companion model catalogue; SectionIV</x:v>
      </x:c>
      <x:c r="U64" s="85" t="str">
        <x:v>Primary report proposes a visually and linguistically conditioned manipulation policy or a directly evaluated VLA training/inference method.</x:v>
      </x:c>
      <x:c r="V64" s="85" t="str"/>
    </x:row>
    <x:row r="65" ht="61" customHeight="1">
      <x:c r="A65" s="85" t="str">
        <x:v>R064</x:v>
      </x:c>
      <x:c r="B65" s="85" t="str">
        <x:v>VLA</x:v>
      </x:c>
      <x:c r="C65" s="85" t="str">
        <x:v>VLA-RL</x:v>
      </x:c>
      <x:c r="D65" s="91" t="n">
        <x:v>2025</x:v>
      </x:c>
      <x:c r="E65" s="85" t="str">
        <x:v>VLA-RL: Towards Masterful and General Robotic Manipulation with Scalable Reinforcement Learning</x:v>
      </x:c>
      <x:c r="F65" s="85" t="str">
        <x:v>VLA-RL applies online reinforcement learning to autoregressive VLA policies. Its framework combines scalable training infrastructure with a learned progress-reward model.</x:v>
      </x:c>
      <x:c r="G65" s="92" t="str">
        <x:v>https://arxiv.org/abs/2505.18719</x:v>
      </x:c>
      <x:c r="H65" s="85" t="str">
        <x:v>Proposed include</x:v>
      </x:c>
      <x:c r="I65" s="93" t="str">
        <x:v>Include</x:v>
      </x:c>
      <x:c r="J65" s="85" t="str">
        <x:v>Paper</x:v>
      </x:c>
      <x:c r="K65" s="85" t="str">
        <x:v>VLA reinforcement-learning / preference method</x:v>
      </x:c>
      <x:c r="L65" s="85" t="str">
        <x:v>Post-training</x:v>
      </x:c>
      <x:c r="M65" s="85" t="str">
        <x:v>manipulation</x:v>
      </x:c>
      <x:c r="N65" s="85" t="str">
        <x:v>Current manuscript</x:v>
      </x:c>
      <x:c r="O65" s="85" t="str">
        <x:v>arXiv:2505.18719</x:v>
      </x:c>
      <x:c r="P65" s="85" t="str">
        <x:v>Prior primary-source check retained</x:v>
      </x:c>
      <x:c r="Q65" s="85" t="str"/>
      <x:c r="R65" s="85" t="str">
        <x:v>Established companion catalogue primary-source trace; not freshly rechecked this update.</x:v>
      </x:c>
      <x:c r="S65" s="85" t="str">
        <x:v>vlarl</x:v>
      </x:c>
      <x:c r="T65" s="85" t="str">
        <x:v>Companion model catalogue; SectionIV</x:v>
      </x:c>
      <x:c r="U65" s="85" t="str">
        <x:v>Primary report proposes a visually and linguistically conditioned manipulation policy or a directly evaluated VLA training/inference method.</x:v>
      </x:c>
      <x:c r="V65" s="85" t="str"/>
    </x:row>
    <x:row r="66" ht="61" customHeight="1">
      <x:c r="A66" s="85" t="str">
        <x:v>R065</x:v>
      </x:c>
      <x:c r="B66" s="85" t="str">
        <x:v>VLA</x:v>
      </x:c>
      <x:c r="C66" s="85" t="str">
        <x:v>π0</x:v>
      </x:c>
      <x:c r="D66" s="91" t="n">
        <x:v>2024</x:v>
      </x:c>
      <x:c r="E66" s="85" t="str">
        <x:v>π0: A Vision-Language-Action Flow Model for General Robot Control</x:v>
      </x:c>
      <x:c r="F66" s="85" t="str">
        <x:v>The π0 model couples a pretrained vision-language backbone to a flow-matching action expert. It generates continuous action chunks for manipulation across tasks and robot embodiments.</x:v>
      </x:c>
      <x:c r="G66" s="92" t="str">
        <x:v>https://arxiv.org/abs/2410.24164</x:v>
      </x:c>
      <x:c r="H66" s="85" t="str">
        <x:v>Proposed include</x:v>
      </x:c>
      <x:c r="I66" s="93" t="str">
        <x:v>Include</x:v>
      </x:c>
      <x:c r="J66" s="85" t="str">
        <x:v>Paper</x:v>
      </x:c>
      <x:c r="K66" s="85" t="str">
        <x:v>VLA policy</x:v>
      </x:c>
      <x:c r="L66" s="85" t="str"/>
      <x:c r="M66" s="85" t="str">
        <x:v>manipulation</x:v>
      </x:c>
      <x:c r="N66" s="85" t="str">
        <x:v>Current manuscript</x:v>
      </x:c>
      <x:c r="O66" s="85" t="str">
        <x:v>arXiv:2410.24164</x:v>
      </x:c>
      <x:c r="P66" s="85" t="str">
        <x:v>Prior primary-source check retained</x:v>
      </x:c>
      <x:c r="Q66" s="85" t="str"/>
      <x:c r="R66" s="85" t="str">
        <x:v>Established companion catalogue primary-source trace; not freshly rechecked this update.</x:v>
      </x:c>
      <x:c r="S66" s="85" t="str">
        <x:v>pi0</x:v>
      </x:c>
      <x:c r="T66" s="85" t="str">
        <x:v>Companion model catalogue; SectionIV; Table2/tab:vla-master; tab:vla-master</x:v>
      </x:c>
      <x:c r="U66" s="85" t="str">
        <x:v>Primary report proposes a visually and linguistically conditioned manipulation policy or a directly evaluated VLA training/inference method.</x:v>
      </x:c>
      <x:c r="V66" s="85" t="str">
        <x:v>Year uses first arXiv report (2024); existing reference uses publication year 2025. Year differs from the manuscript citation; register uses the documented source year.</x:v>
      </x:c>
    </x:row>
    <x:row r="67" ht="61" customHeight="1">
      <x:c r="A67" s="85" t="str">
        <x:v>R066</x:v>
      </x:c>
      <x:c r="B67" s="85" t="str">
        <x:v>VLA</x:v>
      </x:c>
      <x:c r="C67" s="85" t="str">
        <x:v>π0.5</x:v>
      </x:c>
      <x:c r="D67" s="91" t="n">
        <x:v>2025</x:v>
      </x:c>
      <x:c r="E67" s="85" t="str">
        <x:v>π0.5: A Vision-Language-Action Model with Open-World Generalization</x:v>
      </x:c>
      <x:c r="F67" s="85" t="str">
        <x:v>The π0.5 model extends π0 through heterogeneous co-training and hierarchical task conditioning. It studies language-conditioned manipulation in settings beyond familiar training environments.</x:v>
      </x:c>
      <x:c r="G67" s="92" t="str">
        <x:v>https://arxiv.org/abs/2504.16054</x:v>
      </x:c>
      <x:c r="H67" s="85" t="str">
        <x:v>Proposed include</x:v>
      </x:c>
      <x:c r="I67" s="93" t="str">
        <x:v>Include</x:v>
      </x:c>
      <x:c r="J67" s="85" t="str">
        <x:v>Paper</x:v>
      </x:c>
      <x:c r="K67" s="85" t="str">
        <x:v>VLA policy</x:v>
      </x:c>
      <x:c r="L67" s="85" t="str"/>
      <x:c r="M67" s="85" t="str">
        <x:v>general robotics</x:v>
      </x:c>
      <x:c r="N67" s="85" t="str">
        <x:v>Current manuscript</x:v>
      </x:c>
      <x:c r="O67" s="85" t="str">
        <x:v>arXiv:2504.16054</x:v>
      </x:c>
      <x:c r="P67" s="85" t="str">
        <x:v>Prior primary-source check retained</x:v>
      </x:c>
      <x:c r="Q67" s="85" t="str"/>
      <x:c r="R67" s="85" t="str">
        <x:v>Established companion catalogue primary-source trace; not freshly rechecked this update.</x:v>
      </x:c>
      <x:c r="S67" s="85" t="str">
        <x:v>pi05</x:v>
      </x:c>
      <x:c r="T67" s="85" t="str">
        <x:v>Companion model catalogue; SectionIV; Table2/tab:vla-master; tab:vla-master</x:v>
      </x:c>
      <x:c r="U67" s="85" t="str">
        <x:v>Primary report proposes a visually and linguistically conditioned manipulation policy or a directly evaluated VLA training/inference method.</x:v>
      </x:c>
      <x:c r="V67" s="85" t="str"/>
    </x:row>
    <x:row r="68" ht="61" customHeight="1">
      <x:c r="A68" s="85" t="str">
        <x:v>R067</x:v>
      </x:c>
      <x:c r="B68" s="85" t="str">
        <x:v>VLA</x:v>
      </x:c>
      <x:c r="C68" s="85" t="str">
        <x:v>π0.7</x:v>
      </x:c>
      <x:c r="D68" s="91" t="n">
        <x:v>2026</x:v>
      </x:c>
      <x:c r="E68" s="85" t="str">
        <x:v>π0.7: A Steerable Generalist Robotic Foundation Model with Emergent Capabilities</x:v>
      </x:c>
      <x:c r="F68" s="85" t="str">
        <x:v>π0.7 conditions a generalist robot policy on language and additional context such as subgoal images and task-performance metadata. This conditioning supports steering the execution strategy while training on demonstrations, autonomous experience, and non-robot data.</x:v>
      </x:c>
      <x:c r="G68" s="92" t="str">
        <x:v>https://arxiv.org/abs/2604.15483</x:v>
      </x:c>
      <x:c r="H68" s="85" t="str">
        <x:v>Proposed include</x:v>
      </x:c>
      <x:c r="I68" s="93" t="str">
        <x:v>Include</x:v>
      </x:c>
      <x:c r="J68" s="85" t="str">
        <x:v>Paper</x:v>
      </x:c>
      <x:c r="K68" s="85" t="str">
        <x:v>VLA policy</x:v>
      </x:c>
      <x:c r="L68" s="85" t="str"/>
      <x:c r="M68" s="85" t="str">
        <x:v>manipulation</x:v>
      </x:c>
      <x:c r="N68" s="85" t="str">
        <x:v>Current manuscript</x:v>
      </x:c>
      <x:c r="O68" s="85" t="str">
        <x:v>arXiv:2604.15483</x:v>
      </x:c>
      <x:c r="P68" s="85" t="str">
        <x:v>Prior primary-source check retained</x:v>
      </x:c>
      <x:c r="Q68" s="85" t="str"/>
      <x:c r="R68" s="85" t="str">
        <x:v>Established companion catalogue primary-source trace; not freshly rechecked this update.</x:v>
      </x:c>
      <x:c r="S68" s="85" t="str">
        <x:v>pi07</x:v>
      </x:c>
      <x:c r="T68" s="85" t="str">
        <x:v>Companion model catalogue; SectionIV; Table2/tab:vla-master; tab:vla-master</x:v>
      </x:c>
      <x:c r="U68" s="85" t="str">
        <x:v>Primary report proposes a visually and linguistically conditioned manipulation policy or a directly evaluated VLA training/inference method.</x:v>
      </x:c>
      <x:c r="V68" s="85" t="str"/>
    </x:row>
    <x:row r="69" ht="61" customHeight="1">
      <x:c r="A69" s="85" t="str">
        <x:v>R068</x:v>
      </x:c>
      <x:c r="B69" s="85" t="str">
        <x:v>VLA</x:v>
      </x:c>
      <x:c r="C69" s="85" t="str">
        <x:v>ACT / ALOHA (contextual)</x:v>
      </x:c>
      <x:c r="D69" s="91" t="n">
        <x:v>2023</x:v>
      </x:c>
      <x:c r="E69" s="85" t="str">
        <x:v>Learning Fine-Grained Bimanual Manipulation with Low-Cost Hardware</x:v>
      </x:c>
      <x:c r="F69" s="85" t="str">
        <x:v>This paper introduces the ALOHA teleoperation platform and Action Chunking with Transformers for bimanual imitation learning. Predicting sequences of actions provides a control precedent for later chunk-based VLA policies.</x:v>
      </x:c>
      <x:c r="G69" s="92" t="str">
        <x:v>https://arxiv.org/abs/2304.13705</x:v>
      </x:c>
      <x:c r="H69" s="85" t="str">
        <x:v>Background</x:v>
      </x:c>
      <x:c r="I69" s="93" t="str">
        <x:v>Background</x:v>
      </x:c>
      <x:c r="J69" s="85" t="str">
        <x:v>Paper</x:v>
      </x:c>
      <x:c r="K69" s="85" t="str">
        <x:v>Context: Imitation-learning baseline / platform</x:v>
      </x:c>
      <x:c r="L69" s="85" t="str"/>
      <x:c r="M69" s="85" t="str">
        <x:v>manipulation</x:v>
      </x:c>
      <x:c r="N69" s="85" t="str">
        <x:v>Current manuscript</x:v>
      </x:c>
      <x:c r="O69" s="85" t="str">
        <x:v>arXiv:2304.13705</x:v>
      </x:c>
      <x:c r="P69" s="85" t="str">
        <x:v>Prior primary-source check retained</x:v>
      </x:c>
      <x:c r="Q69" s="85" t="str"/>
      <x:c r="R69" s="85" t="str">
        <x:v>Established companion catalogue primary-source trace; not freshly rechecked this update.</x:v>
      </x:c>
      <x:c r="S69" s="85" t="str">
        <x:v>act</x:v>
      </x:c>
      <x:c r="T69" s="85" t="str">
        <x:v>Companion model catalogue; SectionIV</x:v>
      </x:c>
      <x:c r="U69" s="85" t="str">
        <x:v>Non-language-conditioned imitation-learning baseline; retain as context, not a VLA report.</x:v>
      </x:c>
      <x:c r="V69" s="85" t="str"/>
    </x:row>
    <x:row r="70" ht="61" customHeight="1">
      <x:c r="A70" s="85" t="str">
        <x:v>R069</x:v>
      </x:c>
      <x:c r="B70" s="85" t="str">
        <x:v>VLA</x:v>
      </x:c>
      <x:c r="C70" s="85" t="str">
        <x:v>Code as Policies (contextual planner)</x:v>
      </x:c>
      <x:c r="D70" s="91" t="n">
        <x:v>2022</x:v>
      </x:c>
      <x:c r="E70" s="85" t="str">
        <x:v>Code as Policies: Language Model Programs for Embodied Control</x:v>
      </x:c>
      <x:c r="F70" s="85" t="str">
        <x:v>Code as Policies generates robot-control programs from natural-language instructions. The generated programs connect perception outputs, control APIs, and feedback to executable behaviors.</x:v>
      </x:c>
      <x:c r="G70" s="92" t="str">
        <x:v>https://arxiv.org/abs/2209.07753</x:v>
      </x:c>
      <x:c r="H70" s="85" t="str">
        <x:v>Background</x:v>
      </x:c>
      <x:c r="I70" s="93" t="str">
        <x:v>Background</x:v>
      </x:c>
      <x:c r="J70" s="85" t="str">
        <x:v>Paper</x:v>
      </x:c>
      <x:c r="K70" s="85" t="str">
        <x:v>Context: Contextual planner / control system</x:v>
      </x:c>
      <x:c r="L70" s="85" t="str"/>
      <x:c r="M70" s="85" t="str">
        <x:v>manipulation</x:v>
      </x:c>
      <x:c r="N70" s="85" t="str">
        <x:v>Current manuscript</x:v>
      </x:c>
      <x:c r="O70" s="85" t="str">
        <x:v>arXiv:2209.07753</x:v>
      </x:c>
      <x:c r="P70" s="85" t="str">
        <x:v>Prior primary-source check retained</x:v>
      </x:c>
      <x:c r="Q70" s="85" t="str"/>
      <x:c r="R70" s="85" t="str">
        <x:v>Established companion catalogue primary-source trace; not freshly rechecked this update.</x:v>
      </x:c>
      <x:c r="S70" s="85" t="str">
        <x:v>codeaspolicies</x:v>
      </x:c>
      <x:c r="T70" s="85" t="str">
        <x:v>Companion model catalogue; SectionIV</x:v>
      </x:c>
      <x:c r="U70" s="85" t="str">
        <x:v>Generated policy programs invoke perception/control APIs; separate contextual planning system, first reported before 2023.</x:v>
      </x:c>
      <x:c r="V70" s="85" t="str">
        <x:v>Historical precursor retained separately; not counted in the original VLA time window. Year uses first arXiv report (2022); existing reference uses publication year 2023. Year differs from the manuscript citation; register uses the documented source year.</x:v>
      </x:c>
    </x:row>
    <x:row r="71" ht="61" customHeight="1">
      <x:c r="A71" s="85" t="str">
        <x:v>R070</x:v>
      </x:c>
      <x:c r="B71" s="85" t="str">
        <x:v>VLA</x:v>
      </x:c>
      <x:c r="C71" s="85" t="str">
        <x:v>Diffusion Policy (contextual)</x:v>
      </x:c>
      <x:c r="D71" s="91" t="n">
        <x:v>2023</x:v>
      </x:c>
      <x:c r="E71" s="85" t="str">
        <x:v>Diffusion Policy: Visuomotor Policy Learning via Action Diffusion</x:v>
      </x:c>
      <x:c r="F71" s="85" t="str">
        <x:v>Diffusion Policy models visuomotor action sequences through conditional denoising diffusion. Receding-horizon execution makes it a control foundation for later diffusion-based robot policies.</x:v>
      </x:c>
      <x:c r="G71" s="92" t="str">
        <x:v>https://arxiv.org/abs/2303.04137</x:v>
      </x:c>
      <x:c r="H71" s="85" t="str">
        <x:v>Background</x:v>
      </x:c>
      <x:c r="I71" s="93" t="str">
        <x:v>Background</x:v>
      </x:c>
      <x:c r="J71" s="85" t="str">
        <x:v>Paper</x:v>
      </x:c>
      <x:c r="K71" s="85" t="str">
        <x:v>Context: Imitation-learning baseline / platform</x:v>
      </x:c>
      <x:c r="L71" s="85" t="str"/>
      <x:c r="M71" s="85" t="str">
        <x:v>manipulation</x:v>
      </x:c>
      <x:c r="N71" s="85" t="str">
        <x:v>Current manuscript</x:v>
      </x:c>
      <x:c r="O71" s="85" t="str">
        <x:v>arXiv:2303.04137</x:v>
      </x:c>
      <x:c r="P71" s="85" t="str">
        <x:v>Prior primary-source check retained</x:v>
      </x:c>
      <x:c r="Q71" s="85" t="str"/>
      <x:c r="R71" s="85" t="str">
        <x:v>Established companion catalogue primary-source trace; not freshly rechecked this update.</x:v>
      </x:c>
      <x:c r="S71" s="85" t="str">
        <x:v>diffusionpolicy</x:v>
      </x:c>
      <x:c r="T71" s="85" t="str">
        <x:v>Companion model catalogue; SectionIV</x:v>
      </x:c>
      <x:c r="U71" s="85" t="str">
        <x:v>Original visuomotor diffusion-control method; language-conditioned VLA interface is not established for this report.</x:v>
      </x:c>
      <x:c r="V71" s="85" t="str"/>
    </x:row>
    <x:row r="72" ht="69" customHeight="1">
      <x:c r="A72" s="85" t="str">
        <x:v>R071</x:v>
      </x:c>
      <x:c r="B72" s="85" t="str">
        <x:v>VLA</x:v>
      </x:c>
      <x:c r="C72" s="85" t="str">
        <x:v>Gemini Robotics On-Device</x:v>
      </x:c>
      <x:c r="D72" s="91" t="n">
        <x:v>2025</x:v>
      </x:c>
      <x:c r="E72" s="85" t="str">
        <x:v>Gemini Robotics On-Device: Bringing AI to Local Robotic Devices</x:v>
      </x:c>
      <x:c r="F72" s="85" t="str">
        <x:v>Gemini Robotics On-Device is a vendor-reported VLA designed to run locally on robot hardware. The release describes adaptation to manipulation tasks through fine-tuning and provides context for on-device deployment.</x:v>
      </x:c>
      <x:c r="G72" s="92" t="str">
        <x:v>https://deepmind.google/blog/gemini-robotics-on-device-brings-ai-to-local-robotic-devices/</x:v>
      </x:c>
      <x:c r="H72" s="85" t="str">
        <x:v>Non-paper source</x:v>
      </x:c>
      <x:c r="I72" s="93" t="str">
        <x:v>Exclude</x:v>
      </x:c>
      <x:c r="J72" s="85" t="str">
        <x:v>Technical release / software</x:v>
      </x:c>
      <x:c r="K72" s="85" t="str">
        <x:v>Official technical release / model card</x:v>
      </x:c>
      <x:c r="L72" s="85" t="str"/>
      <x:c r="M72" s="85" t="str">
        <x:v>manipulation</x:v>
      </x:c>
      <x:c r="N72" s="85" t="str">
        <x:v>Current manuscript</x:v>
      </x:c>
      <x:c r="O72" s="85" t="str">
        <x:v>https://deepmind.google/blog/gemini-robotics-on-device-brings-ai-to-local-robotic-devices</x:v>
      </x:c>
      <x:c r="P72" s="85" t="str">
        <x:v>Primary source checked this update</x:v>
      </x:c>
      <x:c r="Q72" s="85" t="str">
        <x:v>2026-10-01</x:v>
      </x:c>
      <x:c r="R72" s="85" t="str">
        <x:v>Official technical announcement of locally running VLA; links existing Gemini Robotics technical report, not a separate paper.</x:v>
      </x:c>
      <x:c r="S72" s="85" t="str">
        <x:v>geminiondevice</x:v>
      </x:c>
      <x:c r="T72" s="85" t="str">
        <x:v>SectionIV</x:v>
      </x:c>
      <x:c r="U72" s="85" t="str">
        <x:v>Official vendor source, not a separately identified research paper; excluded from paper counts.</x:v>
      </x:c>
      <x:c r="V72" s="85" t="str"/>
    </x:row>
    <x:row r="73" ht="61" customHeight="1">
      <x:c r="A73" s="85" t="str">
        <x:v>R072</x:v>
      </x:c>
      <x:c r="B73" s="85" t="str">
        <x:v>VLA</x:v>
      </x:c>
      <x:c r="C73" s="85" t="str">
        <x:v>GR00T N1.5</x:v>
      </x:c>
      <x:c r="D73" s="91" t="n">
        <x:v>2025</x:v>
      </x:c>
      <x:c r="E73" s="85" t="str">
        <x:v>GR00T N1.5: An Improved Open Foundation Model for Generalist Humanoid Robots</x:v>
      </x:c>
      <x:c r="F73" s="85" t="str">
        <x:v>GR00T N1.5 extends the GR00T humanoid policy family with changes to its architecture and training data. The official release describes future-latent representation alignment as a component of policy learning.</x:v>
      </x:c>
      <x:c r="G73" s="92" t="str">
        <x:v>https://research.nvidia.com/labs/gear/gr00t-n1_5/</x:v>
      </x:c>
      <x:c r="H73" s="85" t="str">
        <x:v>Non-paper source</x:v>
      </x:c>
      <x:c r="I73" s="93" t="str">
        <x:v>Exclude</x:v>
      </x:c>
      <x:c r="J73" s="85" t="str">
        <x:v>Technical release / software</x:v>
      </x:c>
      <x:c r="K73" s="85" t="str">
        <x:v>Official technical release / model card</x:v>
      </x:c>
      <x:c r="L73" s="85" t="str"/>
      <x:c r="M73" s="85" t="str">
        <x:v>general robotics</x:v>
      </x:c>
      <x:c r="N73" s="85" t="str">
        <x:v>Current manuscript</x:v>
      </x:c>
      <x:c r="O73" s="85" t="str">
        <x:v>https://research.nvidia.com/labs/gear/gr00t-n1_5</x:v>
      </x:c>
      <x:c r="P73" s="85" t="str">
        <x:v>Primary source checked this update</x:v>
      </x:c>
      <x:c r="Q73" s="85" t="str">
        <x:v>2026-10-01</x:v>
      </x:c>
      <x:c r="R73" s="85" t="str">
        <x:v>Official GR00T N1.5 release page; technical release retained outside distinct-paper total.</x:v>
      </x:c>
      <x:c r="S73" s="85" t="str">
        <x:v>grootn15</x:v>
      </x:c>
      <x:c r="T73" s="85" t="str">
        <x:v>SectionIV</x:v>
      </x:c>
      <x:c r="U73" s="85" t="str">
        <x:v>Official vendor source, not a separately identified research paper; excluded from paper counts.</x:v>
      </x:c>
      <x:c r="V73" s="85" t="str"/>
    </x:row>
    <x:row r="74" ht="61" customHeight="1">
      <x:c r="A74" s="85" t="str">
        <x:v>R073</x:v>
      </x:c>
      <x:c r="B74" s="85" t="str">
        <x:v>VLA</x:v>
      </x:c>
      <x:c r="C74" s="85" t="str">
        <x:v>GR00T N1.7</x:v>
      </x:c>
      <x:c r="D74" s="91" t="n">
        <x:v>2026</x:v>
      </x:c>
      <x:c r="E74" s="85" t="str">
        <x:v>GR00T-N1.7-3B Model Card</x:v>
      </x:c>
      <x:c r="F74" s="85" t="str">
        <x:v>GR00T N1.7 is a cross-embodiment robot policy that conditions action chunks on visual observations, language, and proprioception. Its released model uses a flow-matching action transformer and supports post-training for particular robots and tasks.</x:v>
      </x:c>
      <x:c r="G74" s="92" t="str">
        <x:v>https://huggingface.co/nvidia/GR00T-N1.7-3B</x:v>
      </x:c>
      <x:c r="H74" s="85" t="str">
        <x:v>Non-paper source</x:v>
      </x:c>
      <x:c r="I74" s="93" t="str">
        <x:v>Exclude</x:v>
      </x:c>
      <x:c r="J74" s="85" t="str">
        <x:v>Technical release / software</x:v>
      </x:c>
      <x:c r="K74" s="85" t="str">
        <x:v>Official technical release / model card</x:v>
      </x:c>
      <x:c r="L74" s="85" t="str"/>
      <x:c r="M74" s="85" t="str">
        <x:v>general robotics</x:v>
      </x:c>
      <x:c r="N74" s="85" t="str">
        <x:v>Current manuscript</x:v>
      </x:c>
      <x:c r="O74" s="85" t="str">
        <x:v>https://huggingface.co/nvidia/gr00t-n1.7-3b</x:v>
      </x:c>
      <x:c r="P74" s="85" t="str">
        <x:v>Prior primary-source check retained</x:v>
      </x:c>
      <x:c r="Q74" s="85" t="str"/>
      <x:c r="R74" s="85" t="str">
        <x:v>Established companion catalogue primary-source trace; not freshly rechecked this update.</x:v>
      </x:c>
      <x:c r="S74" s="85" t="str">
        <x:v>grootn17</x:v>
      </x:c>
      <x:c r="T74" s="85" t="str">
        <x:v>Companion model catalogue; SectionIV; Table2/tab:vla-master; tab:vla-master</x:v>
      </x:c>
      <x:c r="U74" s="85" t="str">
        <x:v>Official vendor source, not a separately identified research paper; excluded from paper counts.</x:v>
      </x:c>
      <x:c r="V74" s="85" t="str"/>
    </x:row>
    <x:row r="75" ht="61" customHeight="1">
      <x:c r="A75" s="85" t="str">
        <x:v>R074</x:v>
      </x:c>
      <x:c r="B75" s="85" t="str">
        <x:v>VLA</x:v>
      </x:c>
      <x:c r="C75" s="85" t="str">
        <x:v>Helix</x:v>
      </x:c>
      <x:c r="D75" s="91" t="n">
        <x:v>2025</x:v>
      </x:c>
      <x:c r="E75" s="85" t="str">
        <x:v>Helix: A Vision-Language-Action Model for Generalist Humanoid Control</x:v>
      </x:c>
      <x:c r="F75" s="85" t="str">
        <x:v>Helix combines a slower vision-language component with a faster continuous-action controller for humanoid upper-body manipulation. The cited vendor release describes this dual-system architecture and its demonstrated behaviors.</x:v>
      </x:c>
      <x:c r="G75" s="92" t="str">
        <x:v>https://www.figure.ai/news/helix</x:v>
      </x:c>
      <x:c r="H75" s="85" t="str">
        <x:v>Non-paper source</x:v>
      </x:c>
      <x:c r="I75" s="93" t="str">
        <x:v>Exclude</x:v>
      </x:c>
      <x:c r="J75" s="85" t="str">
        <x:v>Technical release / software</x:v>
      </x:c>
      <x:c r="K75" s="85" t="str">
        <x:v>Official technical release / model card</x:v>
      </x:c>
      <x:c r="L75" s="85" t="str"/>
      <x:c r="M75" s="85" t="str">
        <x:v>general robotics</x:v>
      </x:c>
      <x:c r="N75" s="85" t="str">
        <x:v>Current manuscript</x:v>
      </x:c>
      <x:c r="O75" s="85" t="str">
        <x:v>https://www.figure.ai/news/helix</x:v>
      </x:c>
      <x:c r="P75" s="85" t="str">
        <x:v>Primary source checked this update</x:v>
      </x:c>
      <x:c r="Q75" s="85" t="str">
        <x:v>2026-10-01</x:v>
      </x:c>
      <x:c r="R75" s="85" t="str">
        <x:v>Official Figure AI technical release describing dual-system VLA for humanoid control.</x:v>
      </x:c>
      <x:c r="S75" s="85" t="str">
        <x:v>helix</x:v>
      </x:c>
      <x:c r="T75" s="85" t="str">
        <x:v>SectionIV; Table2/tab:vla-master; tab:vla-master</x:v>
      </x:c>
      <x:c r="U75" s="85" t="str">
        <x:v>Official vendor source, not a separately identified research paper; excluded from paper counts.</x:v>
      </x:c>
      <x:c r="V75" s="85" t="str"/>
    </x:row>
    <x:row r="76" ht="61" customHeight="1">
      <x:c r="A76" s="85" t="str">
        <x:v>R075</x:v>
      </x:c>
      <x:c r="B76" s="85" t="str">
        <x:v>VLA</x:v>
      </x:c>
      <x:c r="C76" s="85" t="str">
        <x:v>Helix 02</x:v>
      </x:c>
      <x:c r="D76" s="91" t="n">
        <x:v>2026</x:v>
      </x:c>
      <x:c r="E76" s="85" t="str">
        <x:v>Introducing Helix 02: Full-Body Autonomy</x:v>
      </x:c>
      <x:c r="F76" s="85" t="str">
        <x:v>Helix 02 combines language and scene reasoning, a full-body visuomotor policy, and a learned low-level whole-body controller. The vendor describes coordinated locomotion and manipulation using visual, tactile, and proprioceptive inputs.</x:v>
      </x:c>
      <x:c r="G76" s="92" t="str">
        <x:v>https://www.figure.ai/news/helix-02</x:v>
      </x:c>
      <x:c r="H76" s="85" t="str">
        <x:v>Non-paper source</x:v>
      </x:c>
      <x:c r="I76" s="93" t="str">
        <x:v>Exclude</x:v>
      </x:c>
      <x:c r="J76" s="85" t="str">
        <x:v>Technical release / software</x:v>
      </x:c>
      <x:c r="K76" s="85" t="str">
        <x:v>Official technical release / model card</x:v>
      </x:c>
      <x:c r="L76" s="85" t="str"/>
      <x:c r="M76" s="85" t="str">
        <x:v>general robotics</x:v>
      </x:c>
      <x:c r="N76" s="85" t="str">
        <x:v>Current manuscript</x:v>
      </x:c>
      <x:c r="O76" s="85" t="str">
        <x:v>https://www.figure.ai/news/helix-02</x:v>
      </x:c>
      <x:c r="P76" s="85" t="str">
        <x:v>Prior primary-source check retained</x:v>
      </x:c>
      <x:c r="Q76" s="85" t="str"/>
      <x:c r="R76" s="85" t="str">
        <x:v>Established companion catalogue primary-source trace; not freshly rechecked this update.</x:v>
      </x:c>
      <x:c r="S76" s="85" t="str">
        <x:v>helix02</x:v>
      </x:c>
      <x:c r="T76" s="85" t="str">
        <x:v>Companion model catalogue; SectionIV; Table2/tab:vla-master; tab:vla-master</x:v>
      </x:c>
      <x:c r="U76" s="85" t="str">
        <x:v>Official vendor source, not a separately identified research paper; excluded from paper counts.</x:v>
      </x:c>
      <x:c r="V76" s="85" t="str"/>
    </x:row>
    <x:row r="77" ht="61" customHeight="1">
      <x:c r="A77" s="85" t="str">
        <x:v>R076</x:v>
      </x:c>
      <x:c r="B77" s="85" t="str">
        <x:v>VLA</x:v>
      </x:c>
      <x:c r="C77" s="85" t="str">
        <x:v>HULC (language-conditioned policy)</x:v>
      </x:c>
      <x:c r="D77" s="91" t="n">
        <x:v>2022</x:v>
      </x:c>
      <x:c r="E77" s="85" t="str">
        <x:v>What Matters in Language Conditioned Robotic Imitation Learning</x:v>
      </x:c>
      <x:c r="F77" s="85" t="str">
        <x:v>A hierarchical language-conditioned imitation policy using latent plans and aligned visual-language representations for multi-task manipulation. Its role in this register is context for the policy comparison.</x:v>
      </x:c>
      <x:c r="G77" s="92" t="str">
        <x:v>https://arxiv.org/abs/2204.06252</x:v>
      </x:c>
      <x:c r="H77" s="85" t="str">
        <x:v>Background</x:v>
      </x:c>
      <x:c r="I77" s="93" t="str">
        <x:v>Background</x:v>
      </x:c>
      <x:c r="J77" s="85" t="str">
        <x:v>Paper</x:v>
      </x:c>
      <x:c r="K77" s="85" t="str">
        <x:v>Context: Language-conditioned comparator; related context</x:v>
      </x:c>
      <x:c r="L77" s="85" t="str"/>
      <x:c r="M77" s="85" t="str">
        <x:v>manipulation</x:v>
      </x:c>
      <x:c r="N77" s="85" t="str">
        <x:v>Existing companion catalogue</x:v>
      </x:c>
      <x:c r="O77" s="85" t="str">
        <x:v>arXiv:2204.06252</x:v>
      </x:c>
      <x:c r="P77" s="85" t="str">
        <x:v>Prior primary-source check retained</x:v>
      </x:c>
      <x:c r="Q77" s="85" t="str"/>
      <x:c r="R77" s="85" t="str">
        <x:v>Established companion catalogue primary-source trace; not freshly rechecked this update.</x:v>
      </x:c>
      <x:c r="S77" s="85" t="str">
        <x:v>hulc</x:v>
      </x:c>
      <x:c r="T77" s="85" t="str">
        <x:v>Companion model catalogue</x:v>
      </x:c>
      <x:c r="U77" s="85" t="str">
        <x:v>Language-conditioned imitation-policy precursor first reported in 2022, outside January 2023 onward VLA search window.</x:v>
      </x:c>
      <x:c r="V77" s="85" t="str">
        <x:v>Historical precursor retained separately; not counted in the original VLA time window. Named in companion catalogue but not cited in current manuscript; candidate addition, not an existing included study.</x:v>
      </x:c>
    </x:row>
    <x:row r="78" ht="61" customHeight="1">
      <x:c r="A78" s="85" t="str">
        <x:v>R077</x:v>
      </x:c>
      <x:c r="B78" s="85" t="str">
        <x:v>VLA</x:v>
      </x:c>
      <x:c r="C78" s="85" t="str">
        <x:v>Lift3D Foundation Policy</x:v>
      </x:c>
      <x:c r="D78" s="91" t="n">
        <x:v>2024</x:v>
      </x:c>
      <x:c r="E78" s="85" t="str">
        <x:v>Lift3D Foundation Policy: Lifting 2D Large-Scale Pretrained Models for Robust 3D Robotic Manipulation</x:v>
      </x:c>
      <x:c r="F78" s="85" t="str">
        <x:v>Lift3D adapts pretrained two-dimensional visual features into implicit and explicit three-dimensional manipulation representations. Its reported policy uses point clouds and robot state without language conditioning.</x:v>
      </x:c>
      <x:c r="G78" s="92" t="str">
        <x:v>https://arxiv.org/abs/2411.18623</x:v>
      </x:c>
      <x:c r="H78" s="85" t="str">
        <x:v>Background</x:v>
      </x:c>
      <x:c r="I78" s="93" t="str">
        <x:v>Background</x:v>
      </x:c>
      <x:c r="J78" s="85" t="str">
        <x:v>Paper</x:v>
      </x:c>
      <x:c r="K78" s="85" t="str">
        <x:v>Context: Visuomotor policy without language conditioning</x:v>
      </x:c>
      <x:c r="L78" s="85" t="str"/>
      <x:c r="M78" s="85" t="str">
        <x:v>manipulation</x:v>
      </x:c>
      <x:c r="N78" s="85" t="str">
        <x:v>Current manuscript</x:v>
      </x:c>
      <x:c r="O78" s="85" t="str">
        <x:v>arXiv:2411.18623</x:v>
      </x:c>
      <x:c r="P78" s="85" t="str">
        <x:v>Primary source checked this update</x:v>
      </x:c>
      <x:c r="Q78" s="85" t="str">
        <x:v>2026-10-01</x:v>
      </x:c>
      <x:c r="R78" s="85" t="str">
        <x:v>Conclusion and AppendixB.1: model cannot comprehend language conditions and uses point clouds and robot states.</x:v>
      </x:c>
      <x:c r="S78" s="85" t="str">
        <x:v>lift3d</x:v>
      </x:c>
      <x:c r="T78" s="85" t="str">
        <x:v>Companion model catalogue; SectionIV</x:v>
      </x:c>
      <x:c r="U78" s="85" t="str">
        <x:v>Visual 3D manipulation policy; language conditioning is not part of its stated input interface.</x:v>
      </x:c>
      <x:c r="V78" s="85" t="str"/>
    </x:row>
    <x:row r="79" ht="61" customHeight="1">
      <x:c r="A79" s="85" t="str">
        <x:v>R078</x:v>
      </x:c>
      <x:c r="B79" s="85" t="str">
        <x:v>VLA</x:v>
      </x:c>
      <x:c r="C79" s="85" t="str">
        <x:v>Mobile ALOHA (contextual)</x:v>
      </x:c>
      <x:c r="D79" s="91" t="n">
        <x:v>2024</x:v>
      </x:c>
      <x:c r="E79" s="85" t="str">
        <x:v>Mobile ALOHA: Learning Bimanual Mobile Manipulation with Low-Cost Whole-Body Teleoperation</x:v>
      </x:c>
      <x:c r="F79" s="85" t="str">
        <x:v>Mobile ALOHA combines whole-body teleoperation with imitation learning for mobile bimanual manipulation. It extends demonstration-based control to coordinated base and arm motions.</x:v>
      </x:c>
      <x:c r="G79" s="92" t="str">
        <x:v>https://arxiv.org/abs/2401.02117</x:v>
      </x:c>
      <x:c r="H79" s="85" t="str">
        <x:v>Background</x:v>
      </x:c>
      <x:c r="I79" s="93" t="str">
        <x:v>Background</x:v>
      </x:c>
      <x:c r="J79" s="85" t="str">
        <x:v>Paper</x:v>
      </x:c>
      <x:c r="K79" s="85" t="str">
        <x:v>Context: Imitation-learning baseline / platform</x:v>
      </x:c>
      <x:c r="L79" s="85" t="str"/>
      <x:c r="M79" s="85" t="str">
        <x:v>manipulation</x:v>
      </x:c>
      <x:c r="N79" s="85" t="str">
        <x:v>Current manuscript</x:v>
      </x:c>
      <x:c r="O79" s="85" t="str">
        <x:v>arXiv:2401.02117</x:v>
      </x:c>
      <x:c r="P79" s="85" t="str">
        <x:v>Prior primary-source check retained</x:v>
      </x:c>
      <x:c r="Q79" s="85" t="str"/>
      <x:c r="R79" s="85" t="str">
        <x:v>Established companion catalogue primary-source trace; not freshly rechecked this update.</x:v>
      </x:c>
      <x:c r="S79" s="85" t="str">
        <x:v>mobilealoha</x:v>
      </x:c>
      <x:c r="T79" s="85" t="str">
        <x:v>Companion model catalogue; SectionIV</x:v>
      </x:c>
      <x:c r="U79" s="85" t="str">
        <x:v>Teleoperation and imitation-learning platform without a language-conditioned policy contribution.</x:v>
      </x:c>
      <x:c r="V79" s="85" t="str"/>
    </x:row>
    <x:row r="80" ht="61" customHeight="1">
      <x:c r="A80" s="85" t="str">
        <x:v>R079</x:v>
      </x:c>
      <x:c r="B80" s="85" t="str">
        <x:v>VLA</x:v>
      </x:c>
      <x:c r="C80" s="85" t="str">
        <x:v>MOKA (VLM control framework)</x:v>
      </x:c>
      <x:c r="D80" s="91" t="n">
        <x:v>2024</x:v>
      </x:c>
      <x:c r="E80" s="85" t="str">
        <x:v>MOKA: Open-World Robotic Manipulation through Mark-Based Visual Prompting</x:v>
      </x:c>
      <x:c r="F80" s="85" t="str">
        <x:v>MOKA uses marked images and point-based affordances to interpret manipulation instructions. These geometric interfaces translate vision-language reasoning into executable control commands.</x:v>
      </x:c>
      <x:c r="G80" s="92" t="str">
        <x:v>https://arxiv.org/abs/2403.03174</x:v>
      </x:c>
      <x:c r="H80" s="85" t="str">
        <x:v>Background</x:v>
      </x:c>
      <x:c r="I80" s="93" t="str">
        <x:v>Background</x:v>
      </x:c>
      <x:c r="J80" s="85" t="str">
        <x:v>Paper</x:v>
      </x:c>
      <x:c r="K80" s="85" t="str">
        <x:v>Context: Contextual planner / control system</x:v>
      </x:c>
      <x:c r="L80" s="85" t="str"/>
      <x:c r="M80" s="85" t="str">
        <x:v>manipulation</x:v>
      </x:c>
      <x:c r="N80" s="85" t="str">
        <x:v>Current manuscript</x:v>
      </x:c>
      <x:c r="O80" s="85" t="str">
        <x:v>arXiv:2403.03174</x:v>
      </x:c>
      <x:c r="P80" s="85" t="str">
        <x:v>Prior primary-source check retained</x:v>
      </x:c>
      <x:c r="Q80" s="85" t="str"/>
      <x:c r="R80" s="85" t="str">
        <x:v>Established companion catalogue primary-source trace; not freshly rechecked this update.</x:v>
      </x:c>
      <x:c r="S80" s="85" t="str">
        <x:v>moka</x:v>
      </x:c>
      <x:c r="T80" s="85" t="str">
        <x:v>Companion model catalogue; SectionIV</x:v>
      </x:c>
      <x:c r="U80" s="85" t="str">
        <x:v>Modular VLM affordance prompting and geometric control; separate from learned VLA policy reports.</x:v>
      </x:c>
      <x:c r="V80" s="85" t="str"/>
    </x:row>
    <x:row r="81" ht="61" customHeight="1">
      <x:c r="A81" s="85" t="str">
        <x:v>R080</x:v>
      </x:c>
      <x:c r="B81" s="85" t="str">
        <x:v>VLA</x:v>
      </x:c>
      <x:c r="C81" s="85" t="str">
        <x:v>OK-Robot (modular control system)</x:v>
      </x:c>
      <x:c r="D81" s="91" t="n">
        <x:v>2024</x:v>
      </x:c>
      <x:c r="E81" s="85" t="str">
        <x:v>OK-Robot: What Really Matters in Integrating Open-Knowledge Models for Robotics</x:v>
      </x:c>
      <x:c r="F81" s="85" t="str">
        <x:v>OK-Robot integrates open perception, navigation, and grasping components for language-directed mobile manipulation. It studies how these components work together in unfamiliar environments.</x:v>
      </x:c>
      <x:c r="G81" s="92" t="str">
        <x:v>https://arxiv.org/abs/2401.12202</x:v>
      </x:c>
      <x:c r="H81" s="85" t="str">
        <x:v>Background</x:v>
      </x:c>
      <x:c r="I81" s="93" t="str">
        <x:v>Background</x:v>
      </x:c>
      <x:c r="J81" s="85" t="str">
        <x:v>Paper</x:v>
      </x:c>
      <x:c r="K81" s="85" t="str">
        <x:v>Context: Contextual planner / control system</x:v>
      </x:c>
      <x:c r="L81" s="85" t="str"/>
      <x:c r="M81" s="85" t="str">
        <x:v>manipulation</x:v>
      </x:c>
      <x:c r="N81" s="85" t="str">
        <x:v>Current manuscript</x:v>
      </x:c>
      <x:c r="O81" s="85" t="str">
        <x:v>arXiv:2401.12202</x:v>
      </x:c>
      <x:c r="P81" s="85" t="str">
        <x:v>Prior primary-source check retained</x:v>
      </x:c>
      <x:c r="Q81" s="85" t="str"/>
      <x:c r="R81" s="85" t="str">
        <x:v>Established companion catalogue primary-source trace; not freshly rechecked this update.</x:v>
      </x:c>
      <x:c r="S81" s="85" t="str">
        <x:v>okrobot</x:v>
      </x:c>
      <x:c r="T81" s="85" t="str">
        <x:v>Companion model catalogue; SectionIV</x:v>
      </x:c>
      <x:c r="U81" s="85" t="str">
        <x:v>Integration of perception, navigation and grasping components; contextual modular system, not a learned VLA policy.</x:v>
      </x:c>
      <x:c r="V81" s="85" t="str"/>
    </x:row>
    <x:row r="82" ht="61" customHeight="1">
      <x:c r="A82" s="85" t="str">
        <x:v>R081</x:v>
      </x:c>
      <x:c r="B82" s="85" t="str">
        <x:v>VLA</x:v>
      </x:c>
      <x:c r="C82" s="85" t="str">
        <x:v>Ontology-Driven Prompt Tuning for LLM-Based Task and Motion Planning</x:v>
      </x:c>
      <x:c r="D82" s="91" t="n">
        <x:v>2024</x:v>
      </x:c>
      <x:c r="E82" s="85" t="str">
        <x:v>Ontology-Driven Prompt Tuning for LLM-Based Task and Motion Planning</x:v>
      </x:c>
      <x:c r="F82" s="85" t="str">
        <x:v>This framework enriches language-model prompts with ontology-based task knowledge and descriptions of the environment. It uses this knowledge to improve semantic consistency and temporal ordering in task-and-motion plans.</x:v>
      </x:c>
      <x:c r="G82" s="92" t="str">
        <x:v>https://arxiv.org/abs/2412.07493v1</x:v>
      </x:c>
      <x:c r="H82" s="85" t="str">
        <x:v>Background</x:v>
      </x:c>
      <x:c r="I82" s="93" t="str">
        <x:v>Background</x:v>
      </x:c>
      <x:c r="J82" s="85" t="str">
        <x:v>Paper</x:v>
      </x:c>
      <x:c r="K82" s="85" t="str">
        <x:v>Context: related manipulation method</x:v>
      </x:c>
      <x:c r="L82" s="85" t="str"/>
      <x:c r="M82" s="85" t="str">
        <x:v>manipulation</x:v>
      </x:c>
      <x:c r="N82" s="85" t="str">
        <x:v>Current manuscript</x:v>
      </x:c>
      <x:c r="O82" s="85" t="str">
        <x:v>arXiv:2412.07493</x:v>
      </x:c>
      <x:c r="P82" s="85" t="str">
        <x:v>Primary source checked this update</x:v>
      </x:c>
      <x:c r="Q82" s="85" t="str">
        <x:v>2026-10-01</x:v>
      </x:c>
      <x:c r="R82" s="85" t="str">
        <x:v>Original preprint title and abstract; ontology-based prompting for task-and-motion planning.</x:v>
      </x:c>
      <x:c r="S82" s="85" t="str">
        <x:v>ontollmtamp</x:v>
      </x:c>
      <x:c r="T82" s="85" t="str">
        <x:v>SectionIV</x:v>
      </x:c>
      <x:c r="U82" s="85" t="str">
        <x:v>Knowledge-guided task-and-motion planning system; neither a learned VLA policy nor a learned world model.</x:v>
      </x:c>
      <x:c r="V82" s="85" t="str">
        <x:v>Year uses first arXiv report (2024); existing reference uses publication year 2025. Year differs from the manuscript citation; register uses the documented source year.</x:v>
      </x:c>
    </x:row>
    <x:row r="83" ht="61" customHeight="1">
      <x:c r="A83" s="85" t="str">
        <x:v>R082</x:v>
      </x:c>
      <x:c r="B83" s="85" t="str">
        <x:v>VLA</x:v>
      </x:c>
      <x:c r="C83" s="85" t="str">
        <x:v>OWMM-Agent / OWMM-VLM</x:v>
      </x:c>
      <x:c r="D83" s="91" t="n">
        <x:v>2025</x:v>
      </x:c>
      <x:c r="E83" s="85" t="str">
        <x:v>OWMM-Agent: Open World Mobile Manipulation With Multi-modal Agentic Data Synthesis</x:v>
      </x:c>
      <x:c r="F83" s="85" t="str">
        <x:v>OWMM-Agent uses multimodal scene and robot-state context to coordinate mobile manipulation through function calls. Its associated instruction tuning supports an agentic integration of perception, navigation, and manipulation components.</x:v>
      </x:c>
      <x:c r="G83" s="92" t="str">
        <x:v>https://arxiv.org/abs/2506.04217</x:v>
      </x:c>
      <x:c r="H83" s="85" t="str">
        <x:v>Background</x:v>
      </x:c>
      <x:c r="I83" s="93" t="str">
        <x:v>Background</x:v>
      </x:c>
      <x:c r="J83" s="85" t="str">
        <x:v>Paper</x:v>
      </x:c>
      <x:c r="K83" s="85" t="str">
        <x:v>Context: Contextual planner / control system</x:v>
      </x:c>
      <x:c r="L83" s="85" t="str"/>
      <x:c r="M83" s="85" t="str">
        <x:v>manipulation</x:v>
      </x:c>
      <x:c r="N83" s="85" t="str">
        <x:v>Current manuscript</x:v>
      </x:c>
      <x:c r="O83" s="85" t="str">
        <x:v>arXiv:2506.04217</x:v>
      </x:c>
      <x:c r="P83" s="85" t="str">
        <x:v>Prior primary-source check retained</x:v>
      </x:c>
      <x:c r="Q83" s="85" t="str"/>
      <x:c r="R83" s="85" t="str">
        <x:v>Established companion catalogue primary-source trace; not freshly rechecked this update.</x:v>
      </x:c>
      <x:c r="S83" s="85" t="str">
        <x:v>owmmagent</x:v>
      </x:c>
      <x:c r="T83" s="85" t="str">
        <x:v>Companion model catalogue; SectionIV</x:v>
      </x:c>
      <x:c r="U83" s="85" t="str">
        <x:v>Agentic VLM/function-call mobile-manipulation framework; retain as modular-system context rather than a learned VLA action-policy report.</x:v>
      </x:c>
      <x:c r="V83" s="85" t="str"/>
    </x:row>
    <x:row r="84" ht="61" customHeight="1">
      <x:c r="A84" s="85" t="str">
        <x:v>R083</x:v>
      </x:c>
      <x:c r="B84" s="85" t="str">
        <x:v>VLA</x:v>
      </x:c>
      <x:c r="C84" s="85" t="str">
        <x:v>PaLM-E (contextual embodied VLM)</x:v>
      </x:c>
      <x:c r="D84" s="91" t="n">
        <x:v>2023</x:v>
      </x:c>
      <x:c r="E84" s="85" t="str">
        <x:v>PaLM-E: An Embodied Multimodal Language Model</x:v>
      </x:c>
      <x:c r="F84" s="85" t="str">
        <x:v>PaLM-E incorporates visual observations and continuous sensor information into an embodied language model. It supports multimodal reasoning and high-level robot planning.</x:v>
      </x:c>
      <x:c r="G84" s="92" t="str">
        <x:v>https://arxiv.org/abs/2303.03378</x:v>
      </x:c>
      <x:c r="H84" s="85" t="str">
        <x:v>Background</x:v>
      </x:c>
      <x:c r="I84" s="93" t="str">
        <x:v>Background</x:v>
      </x:c>
      <x:c r="J84" s="85" t="str">
        <x:v>Paper</x:v>
      </x:c>
      <x:c r="K84" s="85" t="str">
        <x:v>Context: Contextual planner / control system</x:v>
      </x:c>
      <x:c r="L84" s="85" t="str"/>
      <x:c r="M84" s="85" t="str">
        <x:v>manipulation</x:v>
      </x:c>
      <x:c r="N84" s="85" t="str">
        <x:v>Current manuscript</x:v>
      </x:c>
      <x:c r="O84" s="85" t="str">
        <x:v>arXiv:2303.03378</x:v>
      </x:c>
      <x:c r="P84" s="85" t="str">
        <x:v>Prior primary-source check retained</x:v>
      </x:c>
      <x:c r="Q84" s="85" t="str"/>
      <x:c r="R84" s="85" t="str">
        <x:v>Established companion catalogue primary-source trace; not freshly rechecked this update.</x:v>
      </x:c>
      <x:c r="S84" s="85" t="str">
        <x:v>palme</x:v>
      </x:c>
      <x:c r="T84" s="85" t="str">
        <x:v>Companion model catalogue; SectionIV</x:v>
      </x:c>
      <x:c r="U84" s="85" t="str">
        <x:v>Embodied multimodal language model for reasoning and high-level planning; not an action-policy contribution under the selected boundary.</x:v>
      </x:c>
      <x:c r="V84" s="85" t="str"/>
    </x:row>
    <x:row r="85" ht="61" customHeight="1">
      <x:c r="A85" s="85" t="str">
        <x:v>R084</x:v>
      </x:c>
      <x:c r="B85" s="85" t="str">
        <x:v>VLA</x:v>
      </x:c>
      <x:c r="C85" s="85" t="str">
        <x:v>PerAct (language-conditioned 3D policy)</x:v>
      </x:c>
      <x:c r="D85" s="91" t="n">
        <x:v>2022</x:v>
      </x:c>
      <x:c r="E85" s="85" t="str">
        <x:v>Perceiver-Actor: A Multi-Task Transformer for Robotic Manipulation</x:v>
      </x:c>
      <x:c r="F85" s="85" t="str">
        <x:v>PerAct encodes language goals and voxelized RGB-D observations with a Perceiver architecture. It learns discretized six-degree-of-freedom manipulation actions through behavior cloning.</x:v>
      </x:c>
      <x:c r="G85" s="92" t="str">
        <x:v>https://arxiv.org/abs/2209.05451</x:v>
      </x:c>
      <x:c r="H85" s="85" t="str">
        <x:v>Background</x:v>
      </x:c>
      <x:c r="I85" s="93" t="str">
        <x:v>Background</x:v>
      </x:c>
      <x:c r="J85" s="85" t="str">
        <x:v>Paper</x:v>
      </x:c>
      <x:c r="K85" s="85" t="str">
        <x:v>Context: Language-conditioned policy / precursor</x:v>
      </x:c>
      <x:c r="L85" s="85" t="str"/>
      <x:c r="M85" s="85" t="str">
        <x:v>manipulation</x:v>
      </x:c>
      <x:c r="N85" s="85" t="str">
        <x:v>Current manuscript</x:v>
      </x:c>
      <x:c r="O85" s="85" t="str">
        <x:v>arXiv:2209.05451</x:v>
      </x:c>
      <x:c r="P85" s="85" t="str">
        <x:v>Prior primary-source check retained</x:v>
      </x:c>
      <x:c r="Q85" s="85" t="str"/>
      <x:c r="R85" s="85" t="str">
        <x:v>Established companion catalogue primary-source trace; not freshly rechecked this update.</x:v>
      </x:c>
      <x:c r="S85" s="85" t="str">
        <x:v>peract</x:v>
      </x:c>
      <x:c r="T85" s="85" t="str">
        <x:v>Companion model catalogue; SectionIV</x:v>
      </x:c>
      <x:c r="U85" s="85" t="str">
        <x:v>Language-conditioned 3D action-policy precursor first reported in 2022, outside January 2023 onward VLA search window.</x:v>
      </x:c>
      <x:c r="V85" s="85" t="str">
        <x:v>Historical precursor retained separately; not counted in the original VLA time window.</x:v>
      </x:c>
    </x:row>
    <x:row r="86" ht="61" customHeight="1">
      <x:c r="A86" s="85" t="str">
        <x:v>R085</x:v>
      </x:c>
      <x:c r="B86" s="85" t="str">
        <x:v>VLA</x:v>
      </x:c>
      <x:c r="C86" s="85" t="str">
        <x:v>ReKep (constraint-based planner)</x:v>
      </x:c>
      <x:c r="D86" s="91" t="n">
        <x:v>2024</x:v>
      </x:c>
      <x:c r="E86" s="85" t="str">
        <x:v>ReKep: Spatio-Temporal Reasoning of Relational Keypoint Constraints for Robotic Manipulation</x:v>
      </x:c>
      <x:c r="F86" s="85" t="str">
        <x:v>ReKep uses visual-language reasoning to formulate relational constraints between task-relevant keypoints. It then optimizes robot motions to satisfy those constraints over time.</x:v>
      </x:c>
      <x:c r="G86" s="92" t="str">
        <x:v>https://arxiv.org/abs/2409.01652</x:v>
      </x:c>
      <x:c r="H86" s="85" t="str">
        <x:v>Background</x:v>
      </x:c>
      <x:c r="I86" s="93" t="str">
        <x:v>Background</x:v>
      </x:c>
      <x:c r="J86" s="85" t="str">
        <x:v>Paper</x:v>
      </x:c>
      <x:c r="K86" s="85" t="str">
        <x:v>Context: Contextual planner / control system</x:v>
      </x:c>
      <x:c r="L86" s="85" t="str"/>
      <x:c r="M86" s="85" t="str">
        <x:v>manipulation</x:v>
      </x:c>
      <x:c r="N86" s="85" t="str">
        <x:v>Current manuscript</x:v>
      </x:c>
      <x:c r="O86" s="85" t="str">
        <x:v>arXiv:2409.01652</x:v>
      </x:c>
      <x:c r="P86" s="85" t="str">
        <x:v>Prior primary-source check retained</x:v>
      </x:c>
      <x:c r="Q86" s="85" t="str"/>
      <x:c r="R86" s="85" t="str">
        <x:v>Established companion catalogue primary-source trace; not freshly rechecked this update.</x:v>
      </x:c>
      <x:c r="S86" s="85" t="str">
        <x:v>rekep</x:v>
      </x:c>
      <x:c r="T86" s="85" t="str">
        <x:v>Companion model catalogue; SectionIV</x:v>
      </x:c>
      <x:c r="U86" s="85" t="str">
        <x:v>Keypoint constraints and trajectory optimization; contextual manipulation planner rather than a VLA action policy.</x:v>
      </x:c>
      <x:c r="V86" s="85" t="str"/>
    </x:row>
    <x:row r="87" ht="61" customHeight="1">
      <x:c r="A87" s="85" t="str">
        <x:v>R086</x:v>
      </x:c>
      <x:c r="B87" s="85" t="str">
        <x:v>VLA</x:v>
      </x:c>
      <x:c r="C87" s="85" t="str">
        <x:v>RT-1 (contextual precursor)</x:v>
      </x:c>
      <x:c r="D87" s="91" t="n">
        <x:v>2022</x:v>
      </x:c>
      <x:c r="E87" s="85" t="str">
        <x:v>RT-1: Robotics Transformer for Real-World Control at Scale</x:v>
      </x:c>
      <x:c r="F87" s="85" t="str">
        <x:v>RT-1 maps camera observations and language instructions to discretized robot commands using a transformer policy. It is an early language-conditioned control precursor to later VLA foundation models.</x:v>
      </x:c>
      <x:c r="G87" s="92" t="str">
        <x:v>https://arxiv.org/abs/2212.06817</x:v>
      </x:c>
      <x:c r="H87" s="85" t="str">
        <x:v>Background</x:v>
      </x:c>
      <x:c r="I87" s="93" t="str">
        <x:v>Background</x:v>
      </x:c>
      <x:c r="J87" s="85" t="str">
        <x:v>Paper</x:v>
      </x:c>
      <x:c r="K87" s="85" t="str">
        <x:v>Context: Language-conditioned policy / precursor</x:v>
      </x:c>
      <x:c r="L87" s="85" t="str"/>
      <x:c r="M87" s="85" t="str">
        <x:v>manipulation</x:v>
      </x:c>
      <x:c r="N87" s="85" t="str">
        <x:v>Current manuscript</x:v>
      </x:c>
      <x:c r="O87" s="85" t="str">
        <x:v>arXiv:2212.06817</x:v>
      </x:c>
      <x:c r="P87" s="85" t="str">
        <x:v>Prior primary-source check retained</x:v>
      </x:c>
      <x:c r="Q87" s="85" t="str"/>
      <x:c r="R87" s="85" t="str">
        <x:v>Established companion catalogue primary-source trace; not freshly rechecked this update.</x:v>
      </x:c>
      <x:c r="S87" s="85" t="str">
        <x:v>rt1</x:v>
      </x:c>
      <x:c r="T87" s="85" t="str">
        <x:v>Companion model catalogue; SectionIV; Table2/tab:vla-master; tab:vla-master</x:v>
      </x:c>
      <x:c r="U87" s="85" t="str">
        <x:v>Language-conditioned action-policy precursor first reported in 2022, outside January 2023 onward VLA search window.</x:v>
      </x:c>
      <x:c r="V87" s="85" t="str">
        <x:v>Historical precursor retained separately; not counted in the original VLA time window.</x:v>
      </x:c>
    </x:row>
    <x:row r="88" ht="61" customHeight="1">
      <x:c r="A88" s="85" t="str">
        <x:v>R087</x:v>
      </x:c>
      <x:c r="B88" s="85" t="str">
        <x:v>VLA</x:v>
      </x:c>
      <x:c r="C88" s="85" t="str">
        <x:v>SayCan (contextual planner)</x:v>
      </x:c>
      <x:c r="D88" s="91" t="n">
        <x:v>2022</x:v>
      </x:c>
      <x:c r="E88" s="85" t="str">
        <x:v>Do As I Can, Not As I Say: Grounding Language in Robotic Affordances</x:v>
      </x:c>
      <x:c r="F88" s="85" t="str">
        <x:v>SayCan combines language-model task suggestions with learned skill-value estimates. It uses these estimates to select behaviors that are both instruction-relevant and physically feasible.</x:v>
      </x:c>
      <x:c r="G88" s="92" t="str">
        <x:v>https://arxiv.org/abs/2204.01691</x:v>
      </x:c>
      <x:c r="H88" s="85" t="str">
        <x:v>Background</x:v>
      </x:c>
      <x:c r="I88" s="93" t="str">
        <x:v>Background</x:v>
      </x:c>
      <x:c r="J88" s="85" t="str">
        <x:v>Paper</x:v>
      </x:c>
      <x:c r="K88" s="85" t="str">
        <x:v>Context: Contextual planner / control system</x:v>
      </x:c>
      <x:c r="L88" s="85" t="str"/>
      <x:c r="M88" s="85" t="str">
        <x:v>manipulation</x:v>
      </x:c>
      <x:c r="N88" s="85" t="str">
        <x:v>Current manuscript</x:v>
      </x:c>
      <x:c r="O88" s="85" t="str">
        <x:v>arXiv:2204.01691</x:v>
      </x:c>
      <x:c r="P88" s="85" t="str">
        <x:v>Prior primary-source check retained</x:v>
      </x:c>
      <x:c r="Q88" s="85" t="str"/>
      <x:c r="R88" s="85" t="str">
        <x:v>Established companion catalogue primary-source trace; not freshly rechecked this update.</x:v>
      </x:c>
      <x:c r="S88" s="85" t="str">
        <x:v>saycan</x:v>
      </x:c>
      <x:c r="T88" s="85" t="str">
        <x:v>Companion model catalogue; SectionIV</x:v>
      </x:c>
      <x:c r="U88" s="85" t="str">
        <x:v>Language planner selects existing skills; not a unified learned visual-language action policy, and first report predates 2023.</x:v>
      </x:c>
      <x:c r="V88" s="85" t="str">
        <x:v>Historical precursor retained separately; not counted in the original VLA time window.</x:v>
      </x:c>
    </x:row>
    <x:row r="89" ht="61" customHeight="1">
      <x:c r="A89" s="85" t="str">
        <x:v>R088</x:v>
      </x:c>
      <x:c r="B89" s="85" t="str">
        <x:v>VLA</x:v>
      </x:c>
      <x:c r="C89" s="85" t="str">
        <x:v>VIMA (contextual multimodal policy)</x:v>
      </x:c>
      <x:c r="D89" s="91" t="n">
        <x:v>2022</x:v>
      </x:c>
      <x:c r="E89" s="85" t="str">
        <x:v>VIMA: General Robot Manipulation with Multimodal Prompts</x:v>
      </x:c>
      <x:c r="F89" s="85" t="str">
        <x:v>VIMA specifies manipulation tasks using prompts that interleave text and images. A transformer policy converts these multimodal task descriptions and observations into robot actions.</x:v>
      </x:c>
      <x:c r="G89" s="92" t="str">
        <x:v>https://arxiv.org/abs/2210.03094</x:v>
      </x:c>
      <x:c r="H89" s="85" t="str">
        <x:v>Background</x:v>
      </x:c>
      <x:c r="I89" s="93" t="str">
        <x:v>Background</x:v>
      </x:c>
      <x:c r="J89" s="85" t="str">
        <x:v>Paper</x:v>
      </x:c>
      <x:c r="K89" s="85" t="str">
        <x:v>Context: Language-conditioned policy / precursor</x:v>
      </x:c>
      <x:c r="L89" s="85" t="str"/>
      <x:c r="M89" s="85" t="str">
        <x:v>manipulation</x:v>
      </x:c>
      <x:c r="N89" s="85" t="str">
        <x:v>Current manuscript</x:v>
      </x:c>
      <x:c r="O89" s="85" t="str">
        <x:v>arXiv:2210.03094</x:v>
      </x:c>
      <x:c r="P89" s="85" t="str">
        <x:v>Prior primary-source check retained</x:v>
      </x:c>
      <x:c r="Q89" s="85" t="str"/>
      <x:c r="R89" s="85" t="str">
        <x:v>Established companion catalogue primary-source trace; not freshly rechecked this update.</x:v>
      </x:c>
      <x:c r="S89" s="85" t="str">
        <x:v>vima</x:v>
      </x:c>
      <x:c r="T89" s="85" t="str">
        <x:v>Companion model catalogue; SectionIV</x:v>
      </x:c>
      <x:c r="U89" s="85" t="str">
        <x:v>Multimodal-prompt manipulation policy first reported in 2022, outside January 2023 onward VLA search window.</x:v>
      </x:c>
      <x:c r="V89" s="85" t="str">
        <x:v>Historical precursor retained separately; not counted in the original VLA time window. Year uses first arXiv report (2022); existing reference uses publication year 2023. Year differs from the manuscript citation; register uses the documented source year.</x:v>
      </x:c>
    </x:row>
    <x:row r="90" ht="61" customHeight="1">
      <x:c r="A90" s="85" t="str">
        <x:v>R089</x:v>
      </x:c>
      <x:c r="B90" s="85" t="str">
        <x:v>VLA</x:v>
      </x:c>
      <x:c r="C90" s="85" t="str">
        <x:v>VoxPoser (contextual planner)</x:v>
      </x:c>
      <x:c r="D90" s="91" t="n">
        <x:v>2023</x:v>
      </x:c>
      <x:c r="E90" s="85" t="str">
        <x:v>VoxPoser: Composable 3D Value Maps for Robotic Manipulation with Language Models</x:v>
      </x:c>
      <x:c r="F90" s="85" t="str">
        <x:v>VoxPoser converts language and visual information into composable three-dimensional value maps. These maps guide motion planning for manipulation instead of directly predicting motor commands from a single policy head.</x:v>
      </x:c>
      <x:c r="G90" s="92" t="str">
        <x:v>https://arxiv.org/abs/2307.05973</x:v>
      </x:c>
      <x:c r="H90" s="85" t="str">
        <x:v>Background</x:v>
      </x:c>
      <x:c r="I90" s="93" t="str">
        <x:v>Background</x:v>
      </x:c>
      <x:c r="J90" s="85" t="str">
        <x:v>Paper</x:v>
      </x:c>
      <x:c r="K90" s="85" t="str">
        <x:v>Context: Contextual planner / control system</x:v>
      </x:c>
      <x:c r="L90" s="85" t="str"/>
      <x:c r="M90" s="85" t="str">
        <x:v>manipulation</x:v>
      </x:c>
      <x:c r="N90" s="85" t="str">
        <x:v>Current manuscript</x:v>
      </x:c>
      <x:c r="O90" s="85" t="str">
        <x:v>arXiv:2307.05973</x:v>
      </x:c>
      <x:c r="P90" s="85" t="str">
        <x:v>Prior primary-source check retained</x:v>
      </x:c>
      <x:c r="Q90" s="85" t="str"/>
      <x:c r="R90" s="85" t="str">
        <x:v>Established companion catalogue primary-source trace; not freshly rechecked this update.</x:v>
      </x:c>
      <x:c r="S90" s="85" t="str">
        <x:v>voxposer</x:v>
      </x:c>
      <x:c r="T90" s="85" t="str">
        <x:v>Companion model catalogue; SectionIV</x:v>
      </x:c>
      <x:c r="U90" s="85" t="str">
        <x:v>VLM-generated value maps and motion planning are a modular control interface rather than the reviewed learned VLA policy class.</x:v>
      </x:c>
      <x:c r="V90" s="85" t="str"/>
    </x:row>
    <x:row r="91" ht="69" customHeight="1">
      <x:c r="A91" s="85" t="str">
        <x:v>R090</x:v>
      </x:c>
      <x:c r="B91" s="85" t="str">
        <x:v>World model</x:v>
      </x:c>
      <x:c r="C91" s="85" t="str">
        <x:v>AR-WAM</x:v>
      </x:c>
      <x:c r="D91" s="91" t="n">
        <x:v>2026</x:v>
      </x:c>
      <x:c r="E91" s="85" t="str">
        <x:v>AR-WAM: A Visual-Conditioned Agent-Ready World Action Model for Robotic Manipulation</x:v>
      </x:c>
      <x:c r="F91" s="85" t="str">
        <x:v>AR-WAM conditions a predictive robot policy on a visual target and an operation token rather than a language encoder. It jointly predicts latent scene evolution and actions, with a separate agent interface handling longer task coordination.</x:v>
      </x:c>
      <x:c r="G91" s="92" t="str">
        <x:v>https://arxiv.org/abs/2609.23578</x:v>
      </x:c>
      <x:c r="H91" s="85" t="str">
        <x:v>Proposed include</x:v>
      </x:c>
      <x:c r="I91" s="93" t="str">
        <x:v>Include</x:v>
      </x:c>
      <x:c r="J91" s="85" t="str">
        <x:v>Paper</x:v>
      </x:c>
      <x:c r="K91" s="85" t="str">
        <x:v>Visual-conditioned latent world-action model</x:v>
      </x:c>
      <x:c r="L91" s="85" t="str">
        <x:v>WAM; agent interface; expanded search window; no language encoder</x:v>
      </x:c>
      <x:c r="M91" s="85" t="str">
        <x:v>manipulation</x:v>
      </x:c>
      <x:c r="N91" s="85" t="str">
        <x:v>Additional search</x:v>
      </x:c>
      <x:c r="O91" s="85" t="str">
        <x:v>arXiv:2609.23578</x:v>
      </x:c>
      <x:c r="P91" s="85" t="str">
        <x:v>Primary source checked this update</x:v>
      </x:c>
      <x:c r="Q91" s="85" t="str">
        <x:v>2026-10-01</x:v>
      </x:c>
      <x:c r="R91" s="85" t="str">
        <x:v>arXiv:2609.23578v1, abstract and submission history</x:v>
      </x:c>
      <x:c r="S91" s="85" t="str">
        <x:v>arwam</x:v>
      </x:c>
      <x:c r="T91" s="85" t="str"/>
      <x:c r="U91" s="85" t="str">
        <x:v>Adds a manipulation WAM with simulation and physical robot evaluations; it is not a VLA under a language-conditioned policy-interface criterion.</x:v>
      </x:c>
      <x:c r="V91" s="85" t="str">
        <x:v>Supplemental primary-source search on 2026-10-01; not cited in the present manuscript. Identity and eligibility assessed from primary abstract/metadata, not an exhaustive numerical replication. First public report 2026-09-20 is after the manuscript's August 2026 search cutoff; include only in the expanded search window through 2026-10-01.</x:v>
      </x:c>
    </x:row>
    <x:row r="92" ht="83" customHeight="1">
      <x:c r="A92" s="85" t="str">
        <x:v>R091</x:v>
      </x:c>
      <x:c r="B92" s="85" t="str">
        <x:v>World model</x:v>
      </x:c>
      <x:c r="C92" s="85" t="str">
        <x:v>AVDC</x:v>
      </x:c>
      <x:c r="D92" s="91" t="n">
        <x:v>2023</x:v>
      </x:c>
      <x:c r="E92" s="85" t="str">
        <x:v>Learning to act from actionless videos through dense correspondences</x:v>
      </x:c>
      <x:c r="F92" s="85" t="str">
        <x:v>AVDC generates task-directed videos and uses dense correspondences between frames to infer control actions. This connects action-free video demonstrations to robot execution.</x:v>
      </x:c>
      <x:c r="G92" s="92" t="str">
        <x:v>https://arxiv.org/abs/2310.08576</x:v>
      </x:c>
      <x:c r="H92" s="85" t="str">
        <x:v>Proposed include</x:v>
      </x:c>
      <x:c r="I92" s="93" t="str">
        <x:v>Include</x:v>
      </x:c>
      <x:c r="J92" s="85" t="str">
        <x:v>Paper</x:v>
      </x:c>
      <x:c r="K92" s="85" t="str">
        <x:v>Video generation with action recovery</x:v>
      </x:c>
      <x:c r="L92" s="85" t="str">
        <x:v>action-free demonstrations; video planning</x:v>
      </x:c>
      <x:c r="M92" s="85" t="str">
        <x:v>manipulation</x:v>
      </x:c>
      <x:c r="N92" s="85" t="str">
        <x:v>Current manuscript</x:v>
      </x:c>
      <x:c r="O92" s="85" t="str">
        <x:v>arXiv:2310.08576</x:v>
      </x:c>
      <x:c r="P92" s="85" t="str">
        <x:v>Prior primary-source check retained</x:v>
      </x:c>
      <x:c r="Q92" s="85" t="str"/>
      <x:c r="R92" s="85" t="str">
        <x:v>Prior companion model catalogue and Current References primary-source link; not reopened this update</x:v>
      </x:c>
      <x:c r="S92" s="85" t="str">
        <x:v>avdc</x:v>
      </x:c>
      <x:c r="T92" s="85" t="str">
        <x:v>manuscript.tex:578</x:v>
      </x:c>
      <x:c r="U92" s="85" t="str">
        <x:v>Task-conditioned visual prediction is converted to robot control and evaluated on manipulation.</x:v>
      </x:c>
      <x:c r="V92" s="85" t="str">
        <x:v>Existing primary-source identity and summary retained from the previously checked companion catalogue; this update does not claim a fresh full-text audit. Individual prior-check date was not recorded. Year column uses first arXiv submission (2023); supplied publication/reference year was 2024. Year differs from the manuscript citation; register uses the documented source year.</x:v>
      </x:c>
    </x:row>
    <x:row r="93" ht="69" customHeight="1">
      <x:c r="A93" s="85" t="str">
        <x:v>R092</x:v>
      </x:c>
      <x:c r="B93" s="85" t="str">
        <x:v>World model</x:v>
      </x:c>
      <x:c r="C93" s="85" t="str">
        <x:v>Cosmos</x:v>
      </x:c>
      <x:c r="D93" s="91" t="n">
        <x:v>2025</x:v>
      </x:c>
      <x:c r="E93" s="85" t="str">
        <x:v>Cosmos World Foundation Model Platform for Physical AI</x:v>
      </x:c>
      <x:c r="F93" s="85" t="str">
        <x:v>Cosmos provides video tokenizers, a curation pipeline and generative world foundation models. Its robotic post-training examples include instruction-conditioned video prediction and action-vector-conditioned next-frame prediction, distinct from an unadapted backbone.</x:v>
      </x:c>
      <x:c r="G93" s="92" t="str">
        <x:v>https://arxiv.org/abs/2501.03575</x:v>
      </x:c>
      <x:c r="H93" s="85" t="str">
        <x:v>Proposed include</x:v>
      </x:c>
      <x:c r="I93" s="93" t="str">
        <x:v>Include</x:v>
      </x:c>
      <x:c r="J93" s="85" t="str">
        <x:v>Paper</x:v>
      </x:c>
      <x:c r="K93" s="85" t="str">
        <x:v>Video foundation model with robotic adaptation</x:v>
      </x:c>
      <x:c r="L93" s="85" t="str">
        <x:v>action-conditioned adaptation; data curation; video generation</x:v>
      </x:c>
      <x:c r="M93" s="85" t="str">
        <x:v>manipulation</x:v>
      </x:c>
      <x:c r="N93" s="85" t="str">
        <x:v>Current manuscript</x:v>
      </x:c>
      <x:c r="O93" s="85" t="str">
        <x:v>arXiv:2501.03575</x:v>
      </x:c>
      <x:c r="P93" s="85" t="str">
        <x:v>Primary source checked this update</x:v>
      </x:c>
      <x:c r="Q93" s="85" t="str">
        <x:v>2026-10-01</x:v>
      </x:c>
      <x:c r="R93" s="85" t="str">
        <x:v>arXiv:2501.03575v3, Sec. 6.2 (robotic manipulation post-training); abstract and submission history</x:v>
      </x:c>
      <x:c r="S93" s="85" t="str">
        <x:v>cosmos</x:v>
      </x:c>
      <x:c r="T93" s="85" t="str">
        <x:v>Table tab:wm-master; manuscript.tex:1053; manuscript.tex:1124; manuscript.tex:487; manuscript.tex:580; manuscript.tex:769; tab:wm-master</x:v>
      </x:c>
      <x:c r="U93" s="85" t="str">
        <x:v>Section 6.2 evaluates robot video prediction, including post-training for action-vector-conditioned next-frame generation.</x:v>
      </x:c>
      <x:c r="V93" s="85" t="str"/>
    </x:row>
    <x:row r="94" ht="139" customHeight="1">
      <x:c r="A94" s="85" t="str">
        <x:v>R093</x:v>
      </x:c>
      <x:c r="B94" s="85" t="str">
        <x:v>World model</x:v>
      </x:c>
      <x:c r="C94" s="85" t="str">
        <x:v>Cosmos Policy</x:v>
      </x:c>
      <x:c r="D94" s="91" t="n">
        <x:v>2026</x:v>
      </x:c>
      <x:c r="E94" s="85" t="str">
        <x:v>Cosmos Policy: Fine-tuning video models for visuomotor control and planning</x:v>
      </x:c>
      <x:c r="F94" s="85" t="str">
        <x:v>Cosmos Policy adapts a video model to jointly generate actions, future states, and values. It evaluates direct visuomotor execution alongside rollout refinement and candidate selection for planning.</x:v>
      </x:c>
      <x:c r="G94" s="92" t="str">
        <x:v>https://arxiv.org/abs/2601.16163</x:v>
      </x:c>
      <x:c r="H94" s="85" t="str">
        <x:v>Proposed include</x:v>
      </x:c>
      <x:c r="I94" s="93" t="str">
        <x:v>Include</x:v>
      </x:c>
      <x:c r="J94" s="85" t="str">
        <x:v>Paper</x:v>
      </x:c>
      <x:c r="K94" s="85" t="str">
        <x:v>World-action model with policy and planning modes</x:v>
      </x:c>
      <x:c r="L94" s="85" t="str">
        <x:v>VLA overlap; WAM; planning</x:v>
      </x:c>
      <x:c r="M94" s="85" t="str">
        <x:v>manipulation</x:v>
      </x:c>
      <x:c r="N94" s="85" t="str">
        <x:v>Current manuscript</x:v>
      </x:c>
      <x:c r="O94" s="85" t="str">
        <x:v>arXiv:2601.16163</x:v>
      </x:c>
      <x:c r="P94" s="85" t="str">
        <x:v>Prior primary-source check retained</x:v>
      </x:c>
      <x:c r="Q94" s="85" t="str"/>
      <x:c r="R94" s="85" t="str">
        <x:v>Prior companion model catalogue and Current References primary-source link; not reopened this update</x:v>
      </x:c>
      <x:c r="S94" s="85" t="str">
        <x:v>cosmospolicy</x:v>
      </x:c>
      <x:c r="T94" s="85" t="str">
        <x:v>Table tab:wm-master; manuscript.tex:1073; manuscript.tex:1122; manuscript.tex:468; manuscript.tex:501; manuscript.tex:643; manuscript.tex:722; manuscript.tex:732; manuscript.tex:787; manuscript.tex:844; manuscript.tex:950; manuscript.tex:97; manuscript.tex:986; tab:wm-master</x:v>
      </x:c>
      <x:c r="U94" s="85" t="str">
        <x:v>Manipulation policy jointly predicts actions, future state and value; direct control and rollout-based planning are separately evaluated.</x:v>
      </x:c>
      <x:c r="V94" s="85" t="str">
        <x:v>Existing primary-source identity and summary retained from the previously checked companion catalogue; this update does not claim a fresh full-text audit. Individual prior-check date was not recorded.</x:v>
      </x:c>
    </x:row>
    <x:row r="95" ht="61" customHeight="1">
      <x:c r="A95" s="85" t="str">
        <x:v>R094</x:v>
      </x:c>
      <x:c r="B95" s="85" t="str">
        <x:v>World model</x:v>
      </x:c>
      <x:c r="C95" s="85" t="str">
        <x:v>Ctrl-World</x:v>
      </x:c>
      <x:c r="D95" s="91" t="n">
        <x:v>2025</x:v>
      </x:c>
      <x:c r="E95" s="85" t="str">
        <x:v>Ctrl-World: A Controllable Generative World Model for Robot Manipulation</x:v>
      </x:c>
      <x:c r="F95" s="85" t="str">
        <x:v>Ctrl-World predicts multi-view video under robot actions and retrieves pose-conditioned memory to extend rollout consistency. It uses generated trajectories for policy evaluation and corrective training, with evidence limited to the reported protocols.</x:v>
      </x:c>
      <x:c r="G95" s="92" t="str">
        <x:v>https://arxiv.org/abs/2510.10125</x:v>
      </x:c>
      <x:c r="H95" s="85" t="str">
        <x:v>Proposed include</x:v>
      </x:c>
      <x:c r="I95" s="93" t="str">
        <x:v>Include</x:v>
      </x:c>
      <x:c r="J95" s="85" t="str">
        <x:v>Paper</x:v>
      </x:c>
      <x:c r="K95" s="85" t="str">
        <x:v>Action-conditioned learned simulator</x:v>
      </x:c>
      <x:c r="L95" s="85" t="str">
        <x:v>multi-view; policy evaluation; synthetic data</x:v>
      </x:c>
      <x:c r="M95" s="85" t="str">
        <x:v>manipulation</x:v>
      </x:c>
      <x:c r="N95" s="85" t="str">
        <x:v>Existing companion catalogue</x:v>
      </x:c>
      <x:c r="O95" s="85" t="str">
        <x:v>arXiv:2510.10125</x:v>
      </x:c>
      <x:c r="P95" s="85" t="str">
        <x:v>Primary source checked this update</x:v>
      </x:c>
      <x:c r="Q95" s="85" t="str">
        <x:v>2026-10-01</x:v>
      </x:c>
      <x:c r="R95" s="85" t="str">
        <x:v>arXiv:2510.10125v3, abstract and submission history</x:v>
      </x:c>
      <x:c r="S95" s="85" t="str">
        <x:v>ctrlworld</x:v>
      </x:c>
      <x:c r="T95" s="85" t="str"/>
      <x:c r="U95" s="85" t="str">
        <x:v>Provides controllable multi-view robot rollouts for policy evaluation and policy-improvement data.</x:v>
      </x:c>
      <x:c r="V95" s="85" t="str">
        <x:v>Already present in the companion model catalogue but not cited in the current manuscript; retained here as a separately traceable source.</x:v>
      </x:c>
    </x:row>
    <x:row r="96" ht="61" customHeight="1">
      <x:c r="A96" s="85" t="str">
        <x:v>R095</x:v>
      </x:c>
      <x:c r="B96" s="85" t="str">
        <x:v>World model</x:v>
      </x:c>
      <x:c r="C96" s="85" t="str">
        <x:v>DINO-WM</x:v>
      </x:c>
      <x:c r="D96" s="91" t="n">
        <x:v>2024</x:v>
      </x:c>
      <x:c r="E96" s="85" t="str">
        <x:v>DINO-WM: World models on pre-trained visual features enable zero-shot planning</x:v>
      </x:c>
      <x:c r="F96" s="85" t="str">
        <x:v>DINO-WM learns action-conditioned transitions over pretrained DINO image features. It plans toward visual goals in feature space without reconstructing future images.</x:v>
      </x:c>
      <x:c r="G96" s="92" t="str">
        <x:v>https://arxiv.org/abs/2411.04983</x:v>
      </x:c>
      <x:c r="H96" s="85" t="str">
        <x:v>Proposed include</x:v>
      </x:c>
      <x:c r="I96" s="93" t="str">
        <x:v>Include</x:v>
      </x:c>
      <x:c r="J96" s="85" t="str">
        <x:v>Paper</x:v>
      </x:c>
      <x:c r="K96" s="85" t="str">
        <x:v>Action-conditioned latent dynamics and planning</x:v>
      </x:c>
      <x:c r="L96" s="85" t="str">
        <x:v>goal-conditioned control; latent planning</x:v>
      </x:c>
      <x:c r="M96" s="85" t="str">
        <x:v>manipulation</x:v>
      </x:c>
      <x:c r="N96" s="85" t="str">
        <x:v>Current manuscript</x:v>
      </x:c>
      <x:c r="O96" s="85" t="str">
        <x:v>arXiv:2411.04983</x:v>
      </x:c>
      <x:c r="P96" s="85" t="str">
        <x:v>Prior primary-source check retained</x:v>
      </x:c>
      <x:c r="Q96" s="85" t="str"/>
      <x:c r="R96" s="85" t="str">
        <x:v>Prior companion model catalogue and Current References primary-source link; not reopened this update</x:v>
      </x:c>
      <x:c r="S96" s="85" t="str">
        <x:v>dinowm</x:v>
      </x:c>
      <x:c r="T96" s="85" t="str">
        <x:v>manuscript.tex:603</x:v>
      </x:c>
      <x:c r="U96" s="85" t="str">
        <x:v>Learns transitions over pretrained visual features and evaluates visual goal-directed control, including manipulation.</x:v>
      </x:c>
      <x:c r="V96" s="85" t="str">
        <x:v>Existing primary-source identity and summary retained from the previously checked companion catalogue; this update does not claim a fresh full-text audit. Individual prior-check date was not recorded.</x:v>
      </x:c>
    </x:row>
    <x:row r="97" ht="69" customHeight="1">
      <x:c r="A97" s="85" t="str">
        <x:v>R096</x:v>
      </x:c>
      <x:c r="B97" s="85" t="str">
        <x:v>World model</x:v>
      </x:c>
      <x:c r="C97" s="85" t="str">
        <x:v>DreamDojo</x:v>
      </x:c>
      <x:c r="D97" s="91" t="n">
        <x:v>2026</x:v>
      </x:c>
      <x:c r="E97" s="85" t="str">
        <x:v>DreamDojo: A generalist robot world model from large-scale human videos</x:v>
      </x:c>
      <x:c r="F97" s="85" t="str">
        <x:v>DreamDojo learns an action-conditioned video world model from human videos using continuous latent actions as proxy controls, then adapts it with robot data. Its generated rollouts support applications including policy evaluation and model-based planning.</x:v>
      </x:c>
      <x:c r="G97" s="92" t="str">
        <x:v>https://arxiv.org/abs/2602.06949</x:v>
      </x:c>
      <x:c r="H97" s="85" t="str">
        <x:v>Proposed include</x:v>
      </x:c>
      <x:c r="I97" s="93" t="str">
        <x:v>Include</x:v>
      </x:c>
      <x:c r="J97" s="85" t="str">
        <x:v>Paper</x:v>
      </x:c>
      <x:c r="K97" s="85" t="str">
        <x:v>Action-conditioned video world model</x:v>
      </x:c>
      <x:c r="L97" s="85" t="str">
        <x:v>human video; learned simulation; planning</x:v>
      </x:c>
      <x:c r="M97" s="85" t="str">
        <x:v>manipulation</x:v>
      </x:c>
      <x:c r="N97" s="85" t="str">
        <x:v>Current manuscript</x:v>
      </x:c>
      <x:c r="O97" s="85" t="str">
        <x:v>arXiv:2602.06949</x:v>
      </x:c>
      <x:c r="P97" s="85" t="str">
        <x:v>Prior primary-source check retained</x:v>
      </x:c>
      <x:c r="Q97" s="85" t="str"/>
      <x:c r="R97" s="85" t="str">
        <x:v>Prior companion model catalogue and Current References primary-source link; not reopened this update</x:v>
      </x:c>
      <x:c r="S97" s="85" t="str">
        <x:v>dreamdojo</x:v>
      </x:c>
      <x:c r="T97" s="85" t="str">
        <x:v>Table tab:wm-master; manuscript.tex:783; tab:wm-master</x:v>
      </x:c>
      <x:c r="U97" s="85" t="str">
        <x:v>Adapts human-video pretraining to robot-action simulation and evaluates downstream robot uses.</x:v>
      </x:c>
      <x:c r="V97" s="85" t="str">
        <x:v>Prior check verified the arXiv paper. Manuscript PMLR proceedings URL was inaccessible during that check; exact proceedings metadata remains unconfirmed. Existing primary-source identity and summary retained from the previously checked companion catalogue; this update does not claim a fresh full-text audit. Individual prior-check date was not recorded.</x:v>
      </x:c>
    </x:row>
    <x:row r="98" ht="69" customHeight="1">
      <x:c r="A98" s="85" t="str">
        <x:v>R097</x:v>
      </x:c>
      <x:c r="B98" s="85" t="str">
        <x:v>World model</x:v>
      </x:c>
      <x:c r="C98" s="85" t="str">
        <x:v>DreamerV3</x:v>
      </x:c>
      <x:c r="D98" s="91" t="n">
        <x:v>2023</x:v>
      </x:c>
      <x:c r="E98" s="85" t="str">
        <x:v>Mastering diverse control tasks through world models</x:v>
      </x:c>
      <x:c r="F98" s="85" t="str">
        <x:v>DreamerV3 learns policies through trajectories imagined in a latent dynamics model with training procedures shared across domains. The published evaluation spans robot manipulation and locomotion as well as games, so manipulation relevance should not be inferred solely from its Minecraft demonstration.</x:v>
      </x:c>
      <x:c r="G98" s="92" t="str">
        <x:v>https://arxiv.org/abs/2301.04104</x:v>
      </x:c>
      <x:c r="H98" s="85" t="str">
        <x:v>Proposed include</x:v>
      </x:c>
      <x:c r="I98" s="93" t="str">
        <x:v>Include</x:v>
      </x:c>
      <x:c r="J98" s="85" t="str">
        <x:v>Paper</x:v>
      </x:c>
      <x:c r="K98" s="85" t="str">
        <x:v>General latent imagination learning</x:v>
      </x:c>
      <x:c r="L98" s="85" t="str">
        <x:v>general-control foundation; model-based RL; simulated manipulation</x:v>
      </x:c>
      <x:c r="M98" s="85" t="str">
        <x:v>general robotics</x:v>
      </x:c>
      <x:c r="N98" s="85" t="str">
        <x:v>Current manuscript</x:v>
      </x:c>
      <x:c r="O98" s="85" t="str">
        <x:v>arXiv:2301.04104</x:v>
      </x:c>
      <x:c r="P98" s="85" t="str">
        <x:v>Primary source checked this update</x:v>
      </x:c>
      <x:c r="Q98" s="85" t="str">
        <x:v>2026-10-01</x:v>
      </x:c>
      <x:c r="R98" s="85" t="str">
        <x:v>arXiv:2301.04104v2, abstract; Nature doi:10.1038/s41586-025-08744-2 search-indexed primary text, Fig. 2 discussion (robot manipulation domains)</x:v>
      </x:c>
      <x:c r="S98" s="85" t="str">
        <x:v>dreamerv3</x:v>
      </x:c>
      <x:c r="T98" s="85" t="str">
        <x:v>Table tab:wm-master; manuscript.tex:569; manuscript.tex:763; tab:wm-master</x:v>
      </x:c>
      <x:c r="U98" s="85" t="str">
        <x:v>Primary published report explicitly includes robot manipulation domains alongside locomotion and games.</x:v>
      </x:c>
      <x:c r="V98" s="85" t="str">
        <x:v>Nature version and arXiv predecessor are one report identity for counting; published title differs from the early arXiv title. Year column uses first arXiv submission (2023); supplied publication/reference year was 2025. Year differs from the manuscript citation; register uses the documented source year.</x:v>
      </x:c>
    </x:row>
    <x:row r="99" ht="83" customHeight="1">
      <x:c r="A99" s="85" t="str">
        <x:v>R098</x:v>
      </x:c>
      <x:c r="B99" s="85" t="str">
        <x:v>World model</x:v>
      </x:c>
      <x:c r="C99" s="85" t="str">
        <x:v>DreamGen</x:v>
      </x:c>
      <x:c r="D99" s="91" t="n">
        <x:v>2025</x:v>
      </x:c>
      <x:c r="E99" s="85" t="str">
        <x:v>DreamGen: Unlocking generalization in robot learning through video world models</x:v>
      </x:c>
      <x:c r="F99" s="85" t="str">
        <x:v>DreamGen generates task-conditioned robot videos and obtains pseudo-action labels through inverse dynamics. The resulting synthetic trajectories augment policy training as an offline data-generation pipeline.</x:v>
      </x:c>
      <x:c r="G99" s="92" t="str">
        <x:v>https://arxiv.org/abs/2505.12705</x:v>
      </x:c>
      <x:c r="H99" s="85" t="str">
        <x:v>Proposed include</x:v>
      </x:c>
      <x:c r="I99" s="93" t="str">
        <x:v>Include</x:v>
      </x:c>
      <x:c r="J99" s="85" t="str">
        <x:v>Paper</x:v>
      </x:c>
      <x:c r="K99" s="85" t="str">
        <x:v>Synthetic robot trajectory generation</x:v>
      </x:c>
      <x:c r="L99" s="85" t="str">
        <x:v>inverse dynamics; synthetic data</x:v>
      </x:c>
      <x:c r="M99" s="85" t="str">
        <x:v>manipulation</x:v>
      </x:c>
      <x:c r="N99" s="85" t="str">
        <x:v>Current manuscript</x:v>
      </x:c>
      <x:c r="O99" s="85" t="str">
        <x:v>arXiv:2505.12705</x:v>
      </x:c>
      <x:c r="P99" s="85" t="str">
        <x:v>Prior primary-source check retained</x:v>
      </x:c>
      <x:c r="Q99" s="85" t="str"/>
      <x:c r="R99" s="85" t="str">
        <x:v>Prior companion model catalogue and Current References primary-source link; not reopened this update</x:v>
      </x:c>
      <x:c r="S99" s="85" t="str">
        <x:v>dreamgen</x:v>
      </x:c>
      <x:c r="T99" s="85" t="str">
        <x:v>Table tab:wm-master; manuscript.tex:1068; manuscript.tex:1271; manuscript.tex:619; manuscript.tex:726; manuscript.tex:778; manuscript.tex:97; tab:wm-master; tab:datasets</x:v>
      </x:c>
      <x:c r="U99" s="85" t="str">
        <x:v>Generates robot video and inferred action labels and evaluates downstream manipulation-policy training.</x:v>
      </x:c>
      <x:c r="V99" s="85" t="str">
        <x:v>Existing primary-source identity and summary retained from the previously checked companion catalogue; this update does not claim a fresh full-text audit. Individual prior-check date was not recorded.</x:v>
      </x:c>
    </x:row>
    <x:row r="100" ht="69" customHeight="1">
      <x:c r="A100" s="85" t="str">
        <x:v>R099</x:v>
      </x:c>
      <x:c r="B100" s="85" t="str">
        <x:v>World model</x:v>
      </x:c>
      <x:c r="C100" s="85" t="str">
        <x:v>DreamVLA</x:v>
      </x:c>
      <x:c r="D100" s="91" t="n">
        <x:v>2025</x:v>
      </x:c>
      <x:c r="E100" s="85" t="str">
        <x:v>DreamVLA: A vision-language-action model dreamed with comprehensive world knowledge</x:v>
      </x:c>
      <x:c r="F100" s="85" t="str">
        <x:v>DreamVLA forecasts compact dynamic, spatial, and semantic representations. A diffusion-based action generator conditions its manipulation commands on this predicted world information.</x:v>
      </x:c>
      <x:c r="G100" s="92" t="str">
        <x:v>https://arxiv.org/abs/2507.04447</x:v>
      </x:c>
      <x:c r="H100" s="85" t="str">
        <x:v>Proposed include</x:v>
      </x:c>
      <x:c r="I100" s="93" t="str">
        <x:v>Include</x:v>
      </x:c>
      <x:c r="J100" s="85" t="str">
        <x:v>Paper</x:v>
      </x:c>
      <x:c r="K100" s="85" t="str">
        <x:v>Predictive VLA with future representations</x:v>
      </x:c>
      <x:c r="L100" s="85" t="str">
        <x:v>VLA overlap; WAM; auxiliary prediction</x:v>
      </x:c>
      <x:c r="M100" s="85" t="str">
        <x:v>manipulation</x:v>
      </x:c>
      <x:c r="N100" s="85" t="str">
        <x:v>Current manuscript</x:v>
      </x:c>
      <x:c r="O100" s="85" t="str">
        <x:v>arXiv:2507.04447</x:v>
      </x:c>
      <x:c r="P100" s="85" t="str">
        <x:v>Prior primary-source check retained</x:v>
      </x:c>
      <x:c r="Q100" s="85" t="str"/>
      <x:c r="R100" s="85" t="str">
        <x:v>Prior companion model catalogue and Current References primary-source link; not reopened this update</x:v>
      </x:c>
      <x:c r="S100" s="85" t="str">
        <x:v>dreamvla</x:v>
      </x:c>
      <x:c r="T100" s="85" t="str">
        <x:v>Table tab:wm-master; manuscript.tex:641; manuscript.tex:786; tab:wm-master</x:v>
      </x:c>
      <x:c r="U100" s="85" t="str">
        <x:v>Uses predicted dynamic, spatial and semantic information for manipulation action generation.</x:v>
      </x:c>
      <x:c r="V100" s="85" t="str">
        <x:v>Predictive training or joint generation does not by itself establish a forward model for supplied candidate actions or online candidate search. Existing primary-source identity and summary retained from the previously checked companion catalogue; this update does not claim a fresh full-text audit. Individual prior-check date was not recorded.</x:v>
      </x:c>
    </x:row>
    <x:row r="101" ht="61" customHeight="1">
      <x:c r="A101" s="85" t="str">
        <x:v>R100</x:v>
      </x:c>
      <x:c r="B101" s="85" t="str">
        <x:v>World model</x:v>
      </x:c>
      <x:c r="C101" s="85" t="str">
        <x:v>DreamZero</x:v>
      </x:c>
      <x:c r="D101" s="91" t="n">
        <x:v>2026</x:v>
      </x:c>
      <x:c r="E101" s="85" t="str">
        <x:v>World action models are zero-shot policies</x:v>
      </x:c>
      <x:c r="F101" s="85" t="str">
        <x:v>DreamZero jointly predicts future video and robot actions using a pretrained video-diffusion backbone. It uses this world-action representation for closed-loop control and studies transfer from heterogeneous robot data and video demonstrations.</x:v>
      </x:c>
      <x:c r="G101" s="92" t="str">
        <x:v>https://arxiv.org/abs/2602.15922</x:v>
      </x:c>
      <x:c r="H101" s="85" t="str">
        <x:v>Proposed include</x:v>
      </x:c>
      <x:c r="I101" s="93" t="str">
        <x:v>Include</x:v>
      </x:c>
      <x:c r="J101" s="85" t="str">
        <x:v>Paper</x:v>
      </x:c>
      <x:c r="K101" s="85" t="str">
        <x:v>Joint video-action world-action model</x:v>
      </x:c>
      <x:c r="L101" s="85" t="str">
        <x:v>VLA overlap; WAM; joint generation</x:v>
      </x:c>
      <x:c r="M101" s="85" t="str">
        <x:v>manipulation</x:v>
      </x:c>
      <x:c r="N101" s="85" t="str">
        <x:v>Current manuscript</x:v>
      </x:c>
      <x:c r="O101" s="85" t="str">
        <x:v>arXiv:2602.15922</x:v>
      </x:c>
      <x:c r="P101" s="85" t="str">
        <x:v>Prior primary-source check retained</x:v>
      </x:c>
      <x:c r="Q101" s="85" t="str"/>
      <x:c r="R101" s="85" t="str">
        <x:v>Prior companion model catalogue and Current References primary-source link; not reopened this update</x:v>
      </x:c>
      <x:c r="S101" s="85" t="str">
        <x:v>dreamzero</x:v>
      </x:c>
      <x:c r="T101" s="85" t="str">
        <x:v>Table tab:wm-master; manuscript.tex:788; tab:wm-master</x:v>
      </x:c>
      <x:c r="U101" s="85" t="str">
        <x:v>Joint future video and robot action generation is evaluated as a closed-loop manipulation policy.</x:v>
      </x:c>
      <x:c r="V101" s="85" t="str">
        <x:v>Existing primary-source identity and summary retained from the previously checked companion catalogue; this update does not claim a fresh full-text audit. Individual prior-check date was not recorded.</x:v>
      </x:c>
    </x:row>
    <x:row r="102" ht="69" customHeight="1">
      <x:c r="A102" s="85" t="str">
        <x:v>R101</x:v>
      </x:c>
      <x:c r="B102" s="85" t="str">
        <x:v>World model</x:v>
      </x:c>
      <x:c r="C102" s="85" t="str">
        <x:v>FLARE — implicit world modeling</x:v>
      </x:c>
      <x:c r="D102" s="91" t="n">
        <x:v>2025</x:v>
      </x:c>
      <x:c r="E102" s="85" t="str">
        <x:v>FLARE: Robot learning with implicit world modeling</x:v>
      </x:c>
      <x:c r="F102" s="85" t="str">
        <x:v>FLARE aligns policy features with embeddings of future observations to incorporate latent prediction into diffusion-based action learning. It also supports co-training with action-free video and is distinct from the reinforcement-learning method FLaRe.</x:v>
      </x:c>
      <x:c r="G102" s="92" t="str">
        <x:v>https://arxiv.org/abs/2505.15659</x:v>
      </x:c>
      <x:c r="H102" s="85" t="str">
        <x:v>Proposed include</x:v>
      </x:c>
      <x:c r="I102" s="93" t="str">
        <x:v>Include</x:v>
      </x:c>
      <x:c r="J102" s="85" t="str">
        <x:v>Paper</x:v>
      </x:c>
      <x:c r="K102" s="85" t="str">
        <x:v>Predictive representation alignment for policies</x:v>
      </x:c>
      <x:c r="L102" s="85" t="str">
        <x:v>VLA overlap; WAM; auxiliary prediction</x:v>
      </x:c>
      <x:c r="M102" s="85" t="str">
        <x:v>manipulation</x:v>
      </x:c>
      <x:c r="N102" s="85" t="str">
        <x:v>Current manuscript</x:v>
      </x:c>
      <x:c r="O102" s="85" t="str">
        <x:v>arXiv:2505.15659</x:v>
      </x:c>
      <x:c r="P102" s="85" t="str">
        <x:v>Prior primary-source check retained</x:v>
      </x:c>
      <x:c r="Q102" s="85" t="str"/>
      <x:c r="R102" s="85" t="str">
        <x:v>Prior companion model catalogue and Current References primary-source link; not reopened this update</x:v>
      </x:c>
      <x:c r="S102" s="85" t="str">
        <x:v>flarewm</x:v>
      </x:c>
      <x:c r="T102" s="85" t="str">
        <x:v>Table tab:wm-master; manuscript.tex:1122; manuscript.tex:641; manuscript.tex:734; manuscript.tex:785; tab:wm-master</x:v>
      </x:c>
      <x:c r="U102" s="85" t="str">
        <x:v>Evaluates future-latent representation alignment for manipulation policies; prediction is an auxiliary mechanism.</x:v>
      </x:c>
      <x:c r="V102" s="85" t="str">
        <x:v>Predictive training or joint generation does not by itself establish a forward model for supplied candidate actions or online candidate search. Existing primary-source identity and summary retained from the previously checked companion catalogue; this update does not claim a fresh full-text audit. Individual prior-check date was not recorded.</x:v>
      </x:c>
    </x:row>
    <x:row r="103" ht="61" customHeight="1">
      <x:c r="A103" s="85" t="str">
        <x:v>R102</x:v>
      </x:c>
      <x:c r="B103" s="85" t="str">
        <x:v>World model</x:v>
      </x:c>
      <x:c r="C103" s="85" t="str">
        <x:v>FlowDreamer</x:v>
      </x:c>
      <x:c r="D103" s="91" t="n">
        <x:v>2025</x:v>
      </x:c>
      <x:c r="E103" s="85" t="str">
        <x:v>FlowDreamer: A RGB-D World Model with Flow-based Motion Representations for Robot Manipulation</x:v>
      </x:c>
      <x:c r="F103" s="85" t="str">
        <x:v>FlowDreamer predicts three-dimensional scene flow from observations and robot actions before generating future RGB-D frames. Its experiments cover robot video prediction and visual planning.</x:v>
      </x:c>
      <x:c r="G103" s="92" t="str">
        <x:v>https://arxiv.org/abs/2505.10075</x:v>
      </x:c>
      <x:c r="H103" s="85" t="str">
        <x:v>Proposed include</x:v>
      </x:c>
      <x:c r="I103" s="93" t="str">
        <x:v>Include</x:v>
      </x:c>
      <x:c r="J103" s="85" t="str">
        <x:v>Paper</x:v>
      </x:c>
      <x:c r="K103" s="85" t="str">
        <x:v>Action-conditioned RGB-D dynamics</x:v>
      </x:c>
      <x:c r="L103" s="85" t="str">
        <x:v>3D scene flow; geometric prediction; visual planning</x:v>
      </x:c>
      <x:c r="M103" s="85" t="str">
        <x:v>manipulation</x:v>
      </x:c>
      <x:c r="N103" s="85" t="str">
        <x:v>Additional search</x:v>
      </x:c>
      <x:c r="O103" s="85" t="str">
        <x:v>arXiv:2505.10075</x:v>
      </x:c>
      <x:c r="P103" s="85" t="str">
        <x:v>Primary source checked this update</x:v>
      </x:c>
      <x:c r="Q103" s="85" t="str">
        <x:v>2026-10-01</x:v>
      </x:c>
      <x:c r="R103" s="85" t="str">
        <x:v>arXiv:2505.10075v1, abstract and submission history</x:v>
      </x:c>
      <x:c r="S103" s="85" t="str">
        <x:v>flowdreamer</x:v>
      </x:c>
      <x:c r="T103" s="85" t="str"/>
      <x:c r="U103" s="85" t="str">
        <x:v>Adds explicit action-conditioned geometric motion prediction with manipulation-control evaluation.</x:v>
      </x:c>
      <x:c r="V103" s="85" t="str">
        <x:v>Supplemental primary-source search on 2026-10-01; not cited in the present manuscript. Identity and eligibility assessed from primary abstract/metadata, not an exhaustive numerical replication.</x:v>
      </x:c>
    </x:row>
    <x:row r="104" ht="61" customHeight="1">
      <x:c r="A104" s="85" t="str">
        <x:v>R103</x:v>
      </x:c>
      <x:c r="B104" s="85" t="str">
        <x:v>World model</x:v>
      </x:c>
      <x:c r="C104" s="85" t="str">
        <x:v>Genie (first generation)</x:v>
      </x:c>
      <x:c r="D104" s="91" t="n">
        <x:v>2024</x:v>
      </x:c>
      <x:c r="E104" s="85" t="str">
        <x:v>Genie: Generative interactive environments</x:v>
      </x:c>
      <x:c r="F104" s="85" t="str">
        <x:v>Genie learns latent action codes and video dynamics from unlabelled videos. A robotics-trained variant predicts robot-object interactions under these latent controls, while the policy-transfer experiment in the paper concerns a game environment.</x:v>
      </x:c>
      <x:c r="G104" s="92" t="str">
        <x:v>https://arxiv.org/abs/2402.15391</x:v>
      </x:c>
      <x:c r="H104" s="85" t="str">
        <x:v>Proposed include</x:v>
      </x:c>
      <x:c r="I104" s="93" t="str">
        <x:v>Include</x:v>
      </x:c>
      <x:c r="J104" s="85" t="str">
        <x:v>Paper</x:v>
      </x:c>
      <x:c r="K104" s="85" t="str">
        <x:v>Latent-action video world model</x:v>
      </x:c>
      <x:c r="L104" s="85" t="str">
        <x:v>game-domain overlap; latent actions; robot video prediction</x:v>
      </x:c>
      <x:c r="M104" s="85" t="str">
        <x:v>manipulation</x:v>
      </x:c>
      <x:c r="N104" s="85" t="str">
        <x:v>Current manuscript</x:v>
      </x:c>
      <x:c r="O104" s="85" t="str">
        <x:v>arXiv:2402.15391</x:v>
      </x:c>
      <x:c r="P104" s="85" t="str">
        <x:v>Primary source checked this update</x:v>
      </x:c>
      <x:c r="Q104" s="85" t="str">
        <x:v>2026-10-01</x:v>
      </x:c>
      <x:c r="R104" s="85" t="str">
        <x:v>arXiv:2402.15391v1, Sec. 3.2 Robotics-trained model; Sec. 3.3 training agents distinguishes game-domain control experiment</x:v>
      </x:c>
      <x:c r="S104" s="85" t="str">
        <x:v>genie1</x:v>
      </x:c>
      <x:c r="T104" s="85" t="str">
        <x:v>manuscript.tex:580</x:v>
      </x:c>
      <x:c r="U104" s="85" t="str">
        <x:v>Beyond platformer experiments, Sec. 3.2 reports a robotics-trained model and controllable robot-object video prediction.</x:v>
      </x:c>
      <x:c r="V104" s="85" t="str">
        <x:v>Latent controls in robotics generation are not identified with executable robot-action vectors; do not attribute CoinRun policy transfer to robots.</x:v>
      </x:c>
    </x:row>
    <x:row r="105" ht="97" customHeight="1">
      <x:c r="A105" s="85" t="str">
        <x:v>R104</x:v>
      </x:c>
      <x:c r="B105" s="85" t="str">
        <x:v>World model</x:v>
      </x:c>
      <x:c r="C105" s="85" t="str">
        <x:v>Genie Envisioner / GE-Base / GE-Act / GE-Sim</x:v>
      </x:c>
      <x:c r="D105" s="91" t="n">
        <x:v>2025</x:v>
      </x:c>
      <x:c r="E105" s="85" t="str">
        <x:v>Genie envisioner: A unified world foundation platform for robotic manipulation</x:v>
      </x:c>
      <x:c r="F105" s="85" t="str">
        <x:v>Genie Envisioner combines instruction-conditioned video prediction, action generation and learned simulation in GE-Base, GE-Act and GE-Sim. These components belong to one paper and must be counted once.</x:v>
      </x:c>
      <x:c r="G105" s="92" t="str">
        <x:v>https://arxiv.org/abs/2508.05635</x:v>
      </x:c>
      <x:c r="H105" s="85" t="str">
        <x:v>Proposed include</x:v>
      </x:c>
      <x:c r="I105" s="93" t="str">
        <x:v>Include</x:v>
      </x:c>
      <x:c r="J105" s="85" t="str">
        <x:v>Paper</x:v>
      </x:c>
      <x:c r="K105" s="85" t="str">
        <x:v>Unified video, policy and learned-simulation platform</x:v>
      </x:c>
      <x:c r="L105" s="85" t="str">
        <x:v>VLA overlap; WAM; learned simulation; policy evaluation</x:v>
      </x:c>
      <x:c r="M105" s="85" t="str">
        <x:v>manipulation</x:v>
      </x:c>
      <x:c r="N105" s="85" t="str">
        <x:v>Current manuscript</x:v>
      </x:c>
      <x:c r="O105" s="85" t="str">
        <x:v>arXiv:2508.05635</x:v>
      </x:c>
      <x:c r="P105" s="85" t="str">
        <x:v>Prior primary-source check retained</x:v>
      </x:c>
      <x:c r="Q105" s="85" t="str"/>
      <x:c r="R105" s="85" t="str">
        <x:v>Prior companion model catalogue and Current References primary-source link; not reopened this update</x:v>
      </x:c>
      <x:c r="S105" s="85" t="str">
        <x:v>genieenvisioner</x:v>
      </x:c>
      <x:c r="T105" s="85" t="str">
        <x:v>Table tab:wm-master; manuscript.tex:1129; manuscript.tex:580; manuscript.tex:621; manuscript.tex:771; manuscript.tex:779; manuscript.tex:811; manuscript.tex:916; tab:wm-master; tab:benchmarks</x:v>
      </x:c>
      <x:c r="U105" s="85" t="str">
        <x:v>One paper contains GE-Base, GE-Act and GE-Sim and evaluates robotic manipulation functions.</x:v>
      </x:c>
      <x:c r="V105" s="85" t="str">
        <x:v>GE-Base, GE-Act, GE-Sim and Genie Envisioner share one canonical paper; no component-level double count. EWMBench has a different paper identity and should not cite this entry. Existing primary-source identity and summary retained from the previously checked companion catalogue; this update does not claim a fresh full-text audit. Individual prior-check date was not recorded.</x:v>
      </x:c>
    </x:row>
    <x:row r="106" ht="97" customHeight="1">
      <x:c r="A106" s="85" t="str">
        <x:v>R105</x:v>
      </x:c>
      <x:c r="B106" s="85" t="str">
        <x:v>World model</x:v>
      </x:c>
      <x:c r="C106" s="85" t="str">
        <x:v>GR-1</x:v>
      </x:c>
      <x:c r="D106" s="91" t="n">
        <x:v>2023</x:v>
      </x:c>
      <x:c r="E106" s="85" t="str">
        <x:v>Unleashing large-scale video generative pre-training for visual robot manipulation</x:v>
      </x:c>
      <x:c r="F106" s="85" t="str">
        <x:v>GR-1 predicts future images and robot actions from language, visual history, and robot state after video pretraining. This shared predictive-policy training is distinct from searching over supplied candidate actions during deployment.</x:v>
      </x:c>
      <x:c r="G106" s="92" t="str">
        <x:v>https://arxiv.org/abs/2312.13139</x:v>
      </x:c>
      <x:c r="H106" s="85" t="str">
        <x:v>Proposed include</x:v>
      </x:c>
      <x:c r="I106" s="93" t="str">
        <x:v>Include</x:v>
      </x:c>
      <x:c r="J106" s="85" t="str">
        <x:v>Paper</x:v>
      </x:c>
      <x:c r="K106" s="85" t="str">
        <x:v>Joint video-action predictive policy</x:v>
      </x:c>
      <x:c r="L106" s="85" t="str">
        <x:v>VLA overlap; joint prediction</x:v>
      </x:c>
      <x:c r="M106" s="85" t="str">
        <x:v>manipulation</x:v>
      </x:c>
      <x:c r="N106" s="85" t="str">
        <x:v>Current manuscript</x:v>
      </x:c>
      <x:c r="O106" s="85" t="str">
        <x:v>arXiv:2312.13139</x:v>
      </x:c>
      <x:c r="P106" s="85" t="str">
        <x:v>Prior primary-source check retained</x:v>
      </x:c>
      <x:c r="Q106" s="85" t="str"/>
      <x:c r="R106" s="85" t="str">
        <x:v>Prior companion model catalogue and Current References primary-source link; not reopened this update</x:v>
      </x:c>
      <x:c r="S106" s="85" t="str">
        <x:v>gr1</x:v>
      </x:c>
      <x:c r="T106" s="85" t="str">
        <x:v>Table tab:wm-master; manuscript.tex:578; manuscript.tex:768; manuscript.tex:993; tab:wm-master</x:v>
      </x:c>
      <x:c r="U106" s="85" t="str">
        <x:v>Video-predictive pretraining and joint future-image/action prediction are evaluated on robotic manipulation.</x:v>
      </x:c>
      <x:c r="V106" s="85" t="str">
        <x:v>Predictive training or joint generation does not by itself establish a forward model for supplied candidate actions or online candidate search. Existing primary-source identity and summary retained from the previously checked companion catalogue; this update does not claim a fresh full-text audit. Individual prior-check date was not recorded. Year column uses first arXiv submission (2023); supplied publication/reference year was 2024. Year differs from the manuscript citation; register uses the documented source year.</x:v>
      </x:c>
    </x:row>
    <x:row r="107" ht="61" customHeight="1">
      <x:c r="A107" s="85" t="str">
        <x:v>R106</x:v>
      </x:c>
      <x:c r="B107" s="85" t="str">
        <x:v>World model</x:v>
      </x:c>
      <x:c r="C107" s="85" t="str">
        <x:v>GWM — Gaussian World Models</x:v>
      </x:c>
      <x:c r="D107" s="91" t="n">
        <x:v>2025</x:v>
      </x:c>
      <x:c r="E107" s="85" t="str">
        <x:v>GWM: Towards scalable gaussian world models for robotic manipulation</x:v>
      </x:c>
      <x:c r="F107" s="85" t="str">
        <x:v>GWM models action-conditioned manipulation dynamics using Gaussian scene representations. The paper studies this representation for predictive pretraining and learned simulation.</x:v>
      </x:c>
      <x:c r="G107" s="92" t="str">
        <x:v>https://arxiv.org/abs/2508.17600</x:v>
      </x:c>
      <x:c r="H107" s="85" t="str">
        <x:v>Proposed include</x:v>
      </x:c>
      <x:c r="I107" s="93" t="str">
        <x:v>Include</x:v>
      </x:c>
      <x:c r="J107" s="85" t="str">
        <x:v>Paper</x:v>
      </x:c>
      <x:c r="K107" s="85" t="str">
        <x:v>Action-conditioned geometric dynamics</x:v>
      </x:c>
      <x:c r="L107" s="85" t="str">
        <x:v>3D Gaussian representation; learned simulation</x:v>
      </x:c>
      <x:c r="M107" s="85" t="str">
        <x:v>manipulation</x:v>
      </x:c>
      <x:c r="N107" s="85" t="str">
        <x:v>Current manuscript</x:v>
      </x:c>
      <x:c r="O107" s="85" t="str">
        <x:v>arXiv:2508.17600</x:v>
      </x:c>
      <x:c r="P107" s="85" t="str">
        <x:v>Prior primary-source check retained</x:v>
      </x:c>
      <x:c r="Q107" s="85" t="str"/>
      <x:c r="R107" s="85" t="str">
        <x:v>Prior companion model catalogue and Current References primary-source link; not reopened this update</x:v>
      </x:c>
      <x:c r="S107" s="85" t="str">
        <x:v>gaussianworld</x:v>
      </x:c>
      <x:c r="T107" s="85" t="str">
        <x:v>Table tab:wm-master; manuscript.tex:610; manuscript.tex:777; tab:wm-master</x:v>
      </x:c>
      <x:c r="U107" s="85" t="str">
        <x:v>Gaussian scene dynamics support robot outcome prediction and learned-simulator policy optimization.</x:v>
      </x:c>
      <x:c r="V107" s="85" t="str">
        <x:v>Existing primary-source identity and summary retained from the previously checked companion catalogue; this update does not claim a fresh full-text audit. Individual prior-check date was not recorded.</x:v>
      </x:c>
    </x:row>
    <x:row r="108" ht="61" customHeight="1">
      <x:c r="A108" s="85" t="str">
        <x:v>R107</x:v>
      </x:c>
      <x:c r="B108" s="85" t="str">
        <x:v>World model</x:v>
      </x:c>
      <x:c r="C108" s="85" t="str">
        <x:v>HarmoWAM</x:v>
      </x:c>
      <x:c r="D108" s="91" t="n">
        <x:v>2026</x:v>
      </x:c>
      <x:c r="E108" s="85" t="str">
        <x:v>HarmoWAM: Harmonizing generalizable and precise manipulation via adaptive world action models</x:v>
      </x:c>
      <x:c r="F108" s="85" t="str">
        <x:v>HarmoWAM combines predictive and reactive action experts through adaptive gating. This architecture aims to balance generalization with precise manipulation control.</x:v>
      </x:c>
      <x:c r="G108" s="92" t="str">
        <x:v>https://arxiv.org/abs/2605.10942</x:v>
      </x:c>
      <x:c r="H108" s="85" t="str">
        <x:v>Proposed include</x:v>
      </x:c>
      <x:c r="I108" s="93" t="str">
        <x:v>Include</x:v>
      </x:c>
      <x:c r="J108" s="85" t="str">
        <x:v>Paper</x:v>
      </x:c>
      <x:c r="K108" s="85" t="str">
        <x:v>Adaptive predictive and reactive world-action model</x:v>
      </x:c>
      <x:c r="L108" s="85" t="str">
        <x:v>VLA overlap; WAM; adaptive execution</x:v>
      </x:c>
      <x:c r="M108" s="85" t="str">
        <x:v>manipulation</x:v>
      </x:c>
      <x:c r="N108" s="85" t="str">
        <x:v>Current manuscript</x:v>
      </x:c>
      <x:c r="O108" s="85" t="str">
        <x:v>arXiv:2605.10942</x:v>
      </x:c>
      <x:c r="P108" s="85" t="str">
        <x:v>Primary source checked this update</x:v>
      </x:c>
      <x:c r="Q108" s="85" t="str">
        <x:v>2026-10-01</x:v>
      </x:c>
      <x:c r="R108" s="85" t="str">
        <x:v>arXiv:2605.10942, primary arXiv title and abstract returned by search</x:v>
      </x:c>
      <x:c r="S108" s="85" t="str">
        <x:v>harmowam</x:v>
      </x:c>
      <x:c r="T108" s="85" t="str">
        <x:v>Table tab:wm-master; manuscript.tex:790; tab:wm-master</x:v>
      </x:c>
      <x:c r="U108" s="85" t="str">
        <x:v>Evaluates coordinated predictive/reactive experts on physical manipulation tasks and unseen conditions.</x:v>
      </x:c>
      <x:c r="V108" s="85" t="str"/>
    </x:row>
    <x:row r="109" ht="83" customHeight="1">
      <x:c r="A109" s="85" t="str">
        <x:v>R108</x:v>
      </x:c>
      <x:c r="B109" s="85" t="str">
        <x:v>World model</x:v>
      </x:c>
      <x:c r="C109" s="85" t="str">
        <x:v>IRASim</x:v>
      </x:c>
      <x:c r="D109" s="91" t="n">
        <x:v>2024</x:v>
      </x:c>
      <x:c r="E109" s="85" t="str">
        <x:v>IRASim: A Fine-Grained World Model for Robot Manipulation</x:v>
      </x:c>
      <x:c r="F109" s="85" t="str">
        <x:v>IRASim conditions video diffusion on frame-aligned robot actions to model detailed robot-object interactions. It evaluates generated rollouts for policy assessment and visual model-based planning.</x:v>
      </x:c>
      <x:c r="G109" s="92" t="str">
        <x:v>https://arxiv.org/abs/2406.14540</x:v>
      </x:c>
      <x:c r="H109" s="85" t="str">
        <x:v>Proposed include</x:v>
      </x:c>
      <x:c r="I109" s="93" t="str">
        <x:v>Include</x:v>
      </x:c>
      <x:c r="J109" s="85" t="str">
        <x:v>Paper</x:v>
      </x:c>
      <x:c r="K109" s="85" t="str">
        <x:v>Action-conditioned video simulator</x:v>
      </x:c>
      <x:c r="L109" s="85" t="str">
        <x:v>learned simulation; planning; policy evaluation</x:v>
      </x:c>
      <x:c r="M109" s="85" t="str">
        <x:v>manipulation</x:v>
      </x:c>
      <x:c r="N109" s="85" t="str">
        <x:v>Additional search</x:v>
      </x:c>
      <x:c r="O109" s="85" t="str">
        <x:v>arXiv:2406.14540</x:v>
      </x:c>
      <x:c r="P109" s="85" t="str">
        <x:v>Primary source checked this update</x:v>
      </x:c>
      <x:c r="Q109" s="85" t="str">
        <x:v>2026-10-01</x:v>
      </x:c>
      <x:c r="R109" s="85" t="str">
        <x:v>arXiv:2406.14540v2, abstract, ICCV 2025 journal reference and submission history</x:v>
      </x:c>
      <x:c r="S109" s="85" t="str">
        <x:v>irasim</x:v>
      </x:c>
      <x:c r="T109" s="85" t="str"/>
      <x:c r="U109" s="85" t="str">
        <x:v>Adds an action-conditioned manipulation world model with policy-evaluation and planning experiments.</x:v>
      </x:c>
      <x:c r="V109" s="85" t="str">
        <x:v>Supplemental primary-source search on 2026-10-01; not cited in the present manuscript. Identity and eligibility assessed from primary abstract/metadata, not an exhaustive numerical replication. First arXiv version in 2024 and ICCV 2025 paper are one report identity; year column uses the conference year. Year column uses first arXiv submission (2024); supplied publication/reference year was 2025.</x:v>
      </x:c>
    </x:row>
    <x:row r="110" ht="61" customHeight="1">
      <x:c r="A110" s="85" t="str">
        <x:v>R109</x:v>
      </x:c>
      <x:c r="B110" s="85" t="str">
        <x:v>World model</x:v>
      </x:c>
      <x:c r="C110" s="85" t="str">
        <x:v>iVideoGPT</x:v>
      </x:c>
      <x:c r="D110" s="91" t="n">
        <x:v>2024</x:v>
      </x:c>
      <x:c r="E110" s="85" t="str">
        <x:v>iVideoGPT: Interactive VideoGPTs are scalable world models</x:v>
      </x:c>
      <x:c r="F110" s="85" t="str">
        <x:v>iVideoGPT autoregressively models tokenized observations, actions, and rewards. Its learned dynamics support interactive video prediction, visual planning, and model-based reinforcement learning.</x:v>
      </x:c>
      <x:c r="G110" s="92" t="str">
        <x:v>https://arxiv.org/abs/2405.15223</x:v>
      </x:c>
      <x:c r="H110" s="85" t="str">
        <x:v>Proposed include</x:v>
      </x:c>
      <x:c r="I110" s="93" t="str">
        <x:v>Include</x:v>
      </x:c>
      <x:c r="J110" s="85" t="str">
        <x:v>Paper</x:v>
      </x:c>
      <x:c r="K110" s="85" t="str">
        <x:v>Interactive autoregressive video world model</x:v>
      </x:c>
      <x:c r="L110" s="85" t="str">
        <x:v>action conditioning; model-based RL; video generation</x:v>
      </x:c>
      <x:c r="M110" s="85" t="str">
        <x:v>manipulation</x:v>
      </x:c>
      <x:c r="N110" s="85" t="str">
        <x:v>Current manuscript</x:v>
      </x:c>
      <x:c r="O110" s="85" t="str">
        <x:v>arXiv:2405.15223</x:v>
      </x:c>
      <x:c r="P110" s="85" t="str">
        <x:v>Prior primary-source check retained</x:v>
      </x:c>
      <x:c r="Q110" s="85" t="str"/>
      <x:c r="R110" s="85" t="str">
        <x:v>Prior companion model catalogue and Current References primary-source link; not reopened this update</x:v>
      </x:c>
      <x:c r="S110" s="85" t="str">
        <x:v>ivideogpt</x:v>
      </x:c>
      <x:c r="T110" s="85" t="str">
        <x:v>manuscript.tex:578</x:v>
      </x:c>
      <x:c r="U110" s="85" t="str">
        <x:v>Action-aware video modeling supports robot visual planning and model-based policy learning.</x:v>
      </x:c>
      <x:c r="V110" s="85" t="str">
        <x:v>Existing primary-source identity and summary retained from the previously checked companion catalogue; this update does not claim a fresh full-text audit. Individual prior-check date was not recorded.</x:v>
      </x:c>
    </x:row>
    <x:row r="111" ht="61" customHeight="1">
      <x:c r="A111" s="85" t="str">
        <x:v>R110</x:v>
      </x:c>
      <x:c r="B111" s="85" t="str">
        <x:v>World model</x:v>
      </x:c>
      <x:c r="C111" s="85" t="str">
        <x:v>LaDi-WM</x:v>
      </x:c>
      <x:c r="D111" s="91" t="n">
        <x:v>2025</x:v>
      </x:c>
      <x:c r="E111" s="85" t="str">
        <x:v>LaDi-WM: A Latent Diffusion-based World Model for Predictive Manipulation</x:v>
      </x:c>
      <x:c r="F111" s="85" t="str">
        <x:v>LaDi-WM predicts future geometric and semantic features in a pretrained visual-feature space using latent diffusion. A robot policy incorporates these forecasts while refining actions, with simulated and physical manipulation evaluations.</x:v>
      </x:c>
      <x:c r="G111" s="92" t="str">
        <x:v>https://arxiv.org/abs/2505.11528</x:v>
      </x:c>
      <x:c r="H111" s="85" t="str">
        <x:v>Proposed include</x:v>
      </x:c>
      <x:c r="I111" s="93" t="str">
        <x:v>Include</x:v>
      </x:c>
      <x:c r="J111" s="85" t="str">
        <x:v>Paper</x:v>
      </x:c>
      <x:c r="K111" s="85" t="str">
        <x:v>Latent diffusion predictive policy</x:v>
      </x:c>
      <x:c r="L111" s="85" t="str">
        <x:v>diffusion policy; latent prediction; real robot</x:v>
      </x:c>
      <x:c r="M111" s="85" t="str">
        <x:v>manipulation</x:v>
      </x:c>
      <x:c r="N111" s="85" t="str">
        <x:v>Additional search</x:v>
      </x:c>
      <x:c r="O111" s="85" t="str">
        <x:v>arXiv:2505.11528</x:v>
      </x:c>
      <x:c r="P111" s="85" t="str">
        <x:v>Primary source checked this update</x:v>
      </x:c>
      <x:c r="Q111" s="85" t="str">
        <x:v>2026-10-01</x:v>
      </x:c>
      <x:c r="R111" s="85" t="str">
        <x:v>arXiv:2505.11528v6, abstract, CoRL 2025 comment and submission history</x:v>
      </x:c>
      <x:c r="S111" s="85" t="str">
        <x:v>ladiwm</x:v>
      </x:c>
      <x:c r="T111" s="85" t="str"/>
      <x:c r="U111" s="85" t="str">
        <x:v>Adds a manipulation-specific latent predictive model and downstream policy evaluation.</x:v>
      </x:c>
      <x:c r="V111" s="85" t="str">
        <x:v>Supplemental primary-source search on 2026-10-01; not cited in the present manuscript. Identity and eligibility assessed from primary abstract/metadata, not an exhaustive numerical replication.</x:v>
      </x:c>
    </x:row>
    <x:row r="112" ht="61" customHeight="1">
      <x:c r="A112" s="85" t="str">
        <x:v>R111</x:v>
      </x:c>
      <x:c r="B112" s="85" t="str">
        <x:v>World model</x:v>
      </x:c>
      <x:c r="C112" s="85" t="str">
        <x:v>LaWAM</x:v>
      </x:c>
      <x:c r="D112" s="91" t="n">
        <x:v>2026</x:v>
      </x:c>
      <x:c r="E112" s="85" t="str">
        <x:v>LaWAM: Latent World Action Models for Efficient Dynamics-Aware Robot Policies</x:v>
      </x:c>
      <x:c r="F112" s="85" t="str">
        <x:v>LaWAM predicts latent visual subgoals and conditions robot-action generation on them. It incorporates predictive information into a policy without requiring dense future-image generation.</x:v>
      </x:c>
      <x:c r="G112" s="92" t="str">
        <x:v>https://arxiv.org/abs/2606.15768</x:v>
      </x:c>
      <x:c r="H112" s="85" t="str">
        <x:v>Proposed include</x:v>
      </x:c>
      <x:c r="I112" s="93" t="str">
        <x:v>Include</x:v>
      </x:c>
      <x:c r="J112" s="85" t="str">
        <x:v>Paper</x:v>
      </x:c>
      <x:c r="K112" s="85" t="str">
        <x:v>Latent world-action model</x:v>
      </x:c>
      <x:c r="L112" s="85" t="str">
        <x:v>VLA overlap; WAM; latent subgoals</x:v>
      </x:c>
      <x:c r="M112" s="85" t="str">
        <x:v>manipulation</x:v>
      </x:c>
      <x:c r="N112" s="85" t="str">
        <x:v>Current manuscript</x:v>
      </x:c>
      <x:c r="O112" s="85" t="str">
        <x:v>arXiv:2606.15768</x:v>
      </x:c>
      <x:c r="P112" s="85" t="str">
        <x:v>Primary source checked this update</x:v>
      </x:c>
      <x:c r="Q112" s="85" t="str">
        <x:v>2026-10-01</x:v>
      </x:c>
      <x:c r="R112" s="85" t="str">
        <x:v>arXiv:2606.15768, title/abstract and submission history</x:v>
      </x:c>
      <x:c r="S112" s="85" t="str">
        <x:v>lawam</x:v>
      </x:c>
      <x:c r="T112" s="85" t="str">
        <x:v>Table tab:wm-master; manuscript.tex:603; manuscript.tex:641; manuscript.tex:775; tab:wm-master</x:v>
      </x:c>
      <x:c r="U112" s="85" t="str">
        <x:v>Predicts latent subgoals to condition robot actions and evaluates simulation and real manipulation.</x:v>
      </x:c>
      <x:c r="V112" s="85" t="str">
        <x:v>Predictive training or joint generation does not by itself establish a forward model for supplied candidate actions or online candidate search.</x:v>
      </x:c>
    </x:row>
    <x:row r="113" ht="69" customHeight="1">
      <x:c r="A113" s="85" t="str">
        <x:v>R112</x:v>
      </x:c>
      <x:c r="B113" s="85" t="str">
        <x:v>World model</x:v>
      </x:c>
      <x:c r="C113" s="85" t="str">
        <x:v>ManiGaussian</x:v>
      </x:c>
      <x:c r="D113" s="91" t="n">
        <x:v>2024</x:v>
      </x:c>
      <x:c r="E113" s="85" t="str">
        <x:v>ManiGaussian: Dynamic gaussian splatting for multi-task robotic manipulation</x:v>
      </x:c>
      <x:c r="F113" s="85" t="str">
        <x:v>ManiGaussian uses dynamic Gaussian representations and future-scene reconstruction as predictive supervision for manipulation. Its language-conditioned policy evaluation is conducted in RLBench simulation.</x:v>
      </x:c>
      <x:c r="G113" s="92" t="str">
        <x:v>https://arxiv.org/abs/2403.08321</x:v>
      </x:c>
      <x:c r="H113" s="85" t="str">
        <x:v>Proposed include</x:v>
      </x:c>
      <x:c r="I113" s="93" t="str">
        <x:v>Include</x:v>
      </x:c>
      <x:c r="J113" s="85" t="str">
        <x:v>Paper</x:v>
      </x:c>
      <x:c r="K113" s="85" t="str">
        <x:v>Geometric predictive policy representation</x:v>
      </x:c>
      <x:c r="L113" s="85" t="str">
        <x:v>3D Gaussian representation; VLA overlap; simulation</x:v>
      </x:c>
      <x:c r="M113" s="85" t="str">
        <x:v>manipulation</x:v>
      </x:c>
      <x:c r="N113" s="85" t="str">
        <x:v>Current manuscript</x:v>
      </x:c>
      <x:c r="O113" s="85" t="str">
        <x:v>arXiv:2403.08321</x:v>
      </x:c>
      <x:c r="P113" s="85" t="str">
        <x:v>Prior primary-source check retained</x:v>
      </x:c>
      <x:c r="Q113" s="85" t="str"/>
      <x:c r="R113" s="85" t="str">
        <x:v>Prior companion model catalogue and Current References primary-source link; not reopened this update</x:v>
      </x:c>
      <x:c r="S113" s="85" t="str">
        <x:v>manigaussian</x:v>
      </x:c>
      <x:c r="T113" s="85" t="str">
        <x:v>manuscript.tex:610</x:v>
      </x:c>
      <x:c r="U113" s="85" t="str">
        <x:v>Dynamic Gaussian reconstruction provides predictive supervision in RLBench manipulation.</x:v>
      </x:c>
      <x:c r="V113" s="85" t="str">
        <x:v>Predictive training or joint generation does not by itself establish a forward model for supplied candidate actions or online candidate search. Existing primary-source identity and summary retained from the previously checked companion catalogue; this update does not claim a fresh full-text audit. Individual prior-check date was not recorded.</x:v>
      </x:c>
    </x:row>
    <x:row r="114" ht="61" customHeight="1">
      <x:c r="A114" s="85" t="str">
        <x:v>R113</x:v>
      </x:c>
      <x:c r="B114" s="85" t="str">
        <x:v>World model</x:v>
      </x:c>
      <x:c r="C114" s="85" t="str">
        <x:v>ManipDreamer</x:v>
      </x:c>
      <x:c r="D114" s="91" t="n">
        <x:v>2025</x:v>
      </x:c>
      <x:c r="E114" s="85" t="str">
        <x:v>ManipDreamer: Boosting Robotic Manipulation World Model with Action Tree and Visual Guidance</x:v>
      </x:c>
      <x:c r="F114" s="85" t="str">
        <x:v>ManipDreamer encodes relations among instruction primitives with an action tree and adds depth and semantic guidance to robot video prediction. It evaluates both generated-video quality and downstream RLBench manipulation.</x:v>
      </x:c>
      <x:c r="G114" s="92" t="str">
        <x:v>https://arxiv.org/abs/2504.16464</x:v>
      </x:c>
      <x:c r="H114" s="85" t="str">
        <x:v>Proposed include</x:v>
      </x:c>
      <x:c r="I114" s="93" t="str">
        <x:v>Include</x:v>
      </x:c>
      <x:c r="J114" s="85" t="str">
        <x:v>Paper</x:v>
      </x:c>
      <x:c r="K114" s="85" t="str">
        <x:v>Structured instruction-conditioned robot video model</x:v>
      </x:c>
      <x:c r="L114" s="85" t="str">
        <x:v>compositional instructions; simulation; video generation</x:v>
      </x:c>
      <x:c r="M114" s="85" t="str">
        <x:v>manipulation</x:v>
      </x:c>
      <x:c r="N114" s="85" t="str">
        <x:v>Additional search</x:v>
      </x:c>
      <x:c r="O114" s="85" t="str">
        <x:v>arXiv:2504.16464</x:v>
      </x:c>
      <x:c r="P114" s="85" t="str">
        <x:v>Primary source checked this update</x:v>
      </x:c>
      <x:c r="Q114" s="85" t="str">
        <x:v>2026-10-01</x:v>
      </x:c>
      <x:c r="R114" s="85" t="str">
        <x:v>arXiv:2504.16464v1, abstract and submission history</x:v>
      </x:c>
      <x:c r="S114" s="85" t="str">
        <x:v>manipdreamer</x:v>
      </x:c>
      <x:c r="T114" s="85" t="str"/>
      <x:c r="U114" s="85" t="str">
        <x:v>Adds a robot-world-model study with instruction structure and manipulation evaluation; linguistic action-tree nodes should not be mistaken for executable action vectors.</x:v>
      </x:c>
      <x:c r="V114" s="85" t="str">
        <x:v>Supplemental primary-source search on 2026-10-01; not cited in the present manuscript. Identity and eligibility assessed from primary abstract/metadata, not an exhaustive numerical replication.</x:v>
      </x:c>
    </x:row>
    <x:row r="115" ht="61" customHeight="1">
      <x:c r="A115" s="85" t="str">
        <x:v>R114</x:v>
      </x:c>
      <x:c r="B115" s="85" t="str">
        <x:v>World model</x:v>
      </x:c>
      <x:c r="C115" s="85" t="str">
        <x:v>RoboDream</x:v>
      </x:c>
      <x:c r="D115" s="91" t="n">
        <x:v>2026</x:v>
      </x:c>
      <x:c r="E115" s="85" t="str">
        <x:v>RoboDream: Compositional World Models for Scalable Robot Data Synthesis</x:v>
      </x:c>
      <x:c r="F115" s="85" t="str">
        <x:v>RoboDream anchors generated robot demonstrations to rendered robot motion while varying scene and object context. It evaluates whether the resulting synthetic data improves downstream real-world manipulation policies.</x:v>
      </x:c>
      <x:c r="G115" s="92" t="str">
        <x:v>https://arxiv.org/abs/2606.02577</x:v>
      </x:c>
      <x:c r="H115" s="85" t="str">
        <x:v>Proposed include</x:v>
      </x:c>
      <x:c r="I115" s="93" t="str">
        <x:v>Include</x:v>
      </x:c>
      <x:c r="J115" s="85" t="str">
        <x:v>Paper</x:v>
      </x:c>
      <x:c r="K115" s="85" t="str">
        <x:v>World-model robot data synthesis</x:v>
      </x:c>
      <x:c r="L115" s="85" t="str">
        <x:v>embodiment conditioning; real robot; synthetic data</x:v>
      </x:c>
      <x:c r="M115" s="85" t="str">
        <x:v>manipulation</x:v>
      </x:c>
      <x:c r="N115" s="85" t="str">
        <x:v>Additional search</x:v>
      </x:c>
      <x:c r="O115" s="85" t="str">
        <x:v>arXiv:2606.02577</x:v>
      </x:c>
      <x:c r="P115" s="85" t="str">
        <x:v>Primary source checked this update</x:v>
      </x:c>
      <x:c r="Q115" s="85" t="str">
        <x:v>2026-10-01</x:v>
      </x:c>
      <x:c r="R115" s="85" t="str">
        <x:v>arXiv:2606.02577v1, abstract and submission history</x:v>
      </x:c>
      <x:c r="S115" s="85" t="str">
        <x:v>robodream</x:v>
      </x:c>
      <x:c r="T115" s="85" t="str"/>
      <x:c r="U115" s="85" t="str">
        <x:v>Adds manipulation evidence for world-model-based data generation and separates it from direct online planning.</x:v>
      </x:c>
      <x:c r="V115" s="85" t="str">
        <x:v>Supplemental primary-source search on 2026-10-01; not cited in the present manuscript. Identity and eligibility assessed from primary abstract/metadata, not an exhaustive numerical replication.</x:v>
      </x:c>
    </x:row>
    <x:row r="116" ht="61" customHeight="1">
      <x:c r="A116" s="85" t="str">
        <x:v>R115</x:v>
      </x:c>
      <x:c r="B116" s="85" t="str">
        <x:v>World model</x:v>
      </x:c>
      <x:c r="C116" s="85" t="str">
        <x:v>RoboDreamer</x:v>
      </x:c>
      <x:c r="D116" s="91" t="n">
        <x:v>2024</x:v>
      </x:c>
      <x:c r="E116" s="85" t="str">
        <x:v>RoboDreamer: Learning Compositional World Models for Robot Imagination</x:v>
      </x:c>
      <x:c r="F116" s="85" t="str">
        <x:v>RoboDreamer decomposes language instructions into reusable primitives and composes the corresponding video-generation factors. It evaluates unseen compositional video plans and their execution in robot simulation.</x:v>
      </x:c>
      <x:c r="G116" s="92" t="str">
        <x:v>https://arxiv.org/abs/2404.12377</x:v>
      </x:c>
      <x:c r="H116" s="85" t="str">
        <x:v>Proposed include</x:v>
      </x:c>
      <x:c r="I116" s="93" t="str">
        <x:v>Include</x:v>
      </x:c>
      <x:c r="J116" s="85" t="str">
        <x:v>Paper</x:v>
      </x:c>
      <x:c r="K116" s="85" t="str">
        <x:v>Compositional language-conditioned video planning</x:v>
      </x:c>
      <x:c r="L116" s="85" t="str">
        <x:v>inverse dynamics; simulation; video planning</x:v>
      </x:c>
      <x:c r="M116" s="85" t="str">
        <x:v>manipulation</x:v>
      </x:c>
      <x:c r="N116" s="85" t="str">
        <x:v>Additional search</x:v>
      </x:c>
      <x:c r="O116" s="85" t="str">
        <x:v>arXiv:2404.12377</x:v>
      </x:c>
      <x:c r="P116" s="85" t="str">
        <x:v>Primary source checked this update</x:v>
      </x:c>
      <x:c r="Q116" s="85" t="str">
        <x:v>2026-10-01</x:v>
      </x:c>
      <x:c r="R116" s="85" t="str">
        <x:v>arXiv:2404.12377v1, abstract and submission history</x:v>
      </x:c>
      <x:c r="S116" s="85" t="str">
        <x:v>robodreamer</x:v>
      </x:c>
      <x:c r="T116" s="85" t="str"/>
      <x:c r="U116" s="85" t="str">
        <x:v>Adds a manipulation-specific compositional predictive-planning approach absent from current citations.</x:v>
      </x:c>
      <x:c r="V116" s="85" t="str">
        <x:v>Supplemental primary-source search on 2026-10-01; not cited in the present manuscript. Identity and eligibility assessed from primary abstract/metadata, not an exhaustive numerical replication.</x:v>
      </x:c>
    </x:row>
    <x:row r="117" ht="61" customHeight="1">
      <x:c r="A117" s="85" t="str">
        <x:v>R116</x:v>
      </x:c>
      <x:c r="B117" s="85" t="str">
        <x:v>World model</x:v>
      </x:c>
      <x:c r="C117" s="85" t="str">
        <x:v>StructVLA</x:v>
      </x:c>
      <x:c r="D117" s="91" t="n">
        <x:v>2026</x:v>
      </x:c>
      <x:c r="E117" s="85" t="str">
        <x:v>Beyond Dense Futures: World Models as Structured Planners for Robotic Manipulation</x:v>
      </x:c>
      <x:c r="F117" s="85" t="str">
        <x:v>StructVLA first trains a generative model to predict sparse visual milestones from instructions and observation history. A second training stage adapts that model to action-token prediction conditioned on instructions and interleaved observation–action history.</x:v>
      </x:c>
      <x:c r="G117" s="92" t="str">
        <x:v>https://arxiv.org/abs/2603.12553</x:v>
      </x:c>
      <x:c r="H117" s="85" t="str">
        <x:v>Proposed include</x:v>
      </x:c>
      <x:c r="I117" s="93" t="str">
        <x:v>Include</x:v>
      </x:c>
      <x:c r="J117" s="85" t="str">
        <x:v>Paper</x:v>
      </x:c>
      <x:c r="K117" s="85" t="str">
        <x:v>Structured visual foresight for action policies</x:v>
      </x:c>
      <x:c r="L117" s="85" t="str">
        <x:v>VLA overlap; WAM; visual milestones</x:v>
      </x:c>
      <x:c r="M117" s="85" t="str">
        <x:v>manipulation</x:v>
      </x:c>
      <x:c r="N117" s="85" t="str">
        <x:v>Current manuscript</x:v>
      </x:c>
      <x:c r="O117" s="85" t="str">
        <x:v>arXiv:2603.12553</x:v>
      </x:c>
      <x:c r="P117" s="85" t="str">
        <x:v>Primary source checked this update</x:v>
      </x:c>
      <x:c r="Q117" s="85" t="str">
        <x:v>2026-10-01</x:v>
      </x:c>
      <x:c r="R117" s="85" t="str">
        <x:v>arXiv:2603.12553v1, abstract and submission history</x:v>
      </x:c>
      <x:c r="S117" s="85" t="str">
        <x:v>structvla</x:v>
      </x:c>
      <x:c r="T117" s="85" t="str">
        <x:v>Table tab:wm-master; manuscript.tex:641; manuscript.tex:789; tab:wm-master</x:v>
      </x:c>
      <x:c r="U117" s="85" t="str">
        <x:v>Trains sparse predictive milestones then adapts to low-level manipulation actions.</x:v>
      </x:c>
      <x:c r="V117" s="85" t="str">
        <x:v>Predictive training or joint generation does not by itself establish a forward model for supplied candidate actions or online candidate search.</x:v>
      </x:c>
    </x:row>
    <x:row r="118" ht="83" customHeight="1">
      <x:c r="A118" s="85" t="str">
        <x:v>R117</x:v>
      </x:c>
      <x:c r="B118" s="85" t="str">
        <x:v>World model</x:v>
      </x:c>
      <x:c r="C118" s="85" t="str">
        <x:v>SuSIE</x:v>
      </x:c>
      <x:c r="D118" s="91" t="n">
        <x:v>2023</x:v>
      </x:c>
      <x:c r="E118" s="85" t="str">
        <x:v>Zero-shot robotic manipulation with pretrained image-editing diffusion models</x:v>
      </x:c>
      <x:c r="F118" s="85" t="str">
        <x:v>SuSIE adapts an image-editing diffusion model to propose visual subgoals from an observation and language instruction. A goal-conditioned controller executes the proposed subgoals.</x:v>
      </x:c>
      <x:c r="G118" s="92" t="str">
        <x:v>https://arxiv.org/abs/2310.10639</x:v>
      </x:c>
      <x:c r="H118" s="85" t="str">
        <x:v>Proposed include</x:v>
      </x:c>
      <x:c r="I118" s="93" t="str">
        <x:v>Include</x:v>
      </x:c>
      <x:c r="J118" s="85" t="str">
        <x:v>Paper</x:v>
      </x:c>
      <x:c r="K118" s="85" t="str">
        <x:v>Visual subgoal generation and control</x:v>
      </x:c>
      <x:c r="L118" s="85" t="str">
        <x:v>goal-conditioned control; visual planning</x:v>
      </x:c>
      <x:c r="M118" s="85" t="str">
        <x:v>manipulation</x:v>
      </x:c>
      <x:c r="N118" s="85" t="str">
        <x:v>Current manuscript</x:v>
      </x:c>
      <x:c r="O118" s="85" t="str">
        <x:v>arXiv:2310.10639</x:v>
      </x:c>
      <x:c r="P118" s="85" t="str">
        <x:v>Prior primary-source check retained</x:v>
      </x:c>
      <x:c r="Q118" s="85" t="str"/>
      <x:c r="R118" s="85" t="str">
        <x:v>Prior companion model catalogue and Current References primary-source link; not reopened this update</x:v>
      </x:c>
      <x:c r="S118" s="85" t="str">
        <x:v>susie</x:v>
      </x:c>
      <x:c r="T118" s="85" t="str">
        <x:v>manuscript.tex:578</x:v>
      </x:c>
      <x:c r="U118" s="85" t="str">
        <x:v>Image-editing diffusion proposes subgoals for a robot controller and is evaluated in manipulation.</x:v>
      </x:c>
      <x:c r="V118" s="85" t="str">
        <x:v>Existing primary-source identity and summary retained from the previously checked companion catalogue; this update does not claim a fresh full-text audit. Individual prior-check date was not recorded. Year column uses first arXiv submission (2023); supplied publication/reference year was 2024. Year differs from the manuscript citation; register uses the documented source year.</x:v>
      </x:c>
    </x:row>
    <x:row r="119" ht="61" customHeight="1">
      <x:c r="A119" s="85" t="str">
        <x:v>R118</x:v>
      </x:c>
      <x:c r="B119" s="85" t="str">
        <x:v>World model</x:v>
      </x:c>
      <x:c r="C119" s="85" t="str">
        <x:v>Tactile-WAM</x:v>
      </x:c>
      <x:c r="D119" s="91" t="n">
        <x:v>2026</x:v>
      </x:c>
      <x:c r="E119" s="85" t="str">
        <x:v>Tactile-WAM: Touch-Aware World Action Model with Tactile Asymmetric Attention</x:v>
      </x:c>
      <x:c r="F119" s="85" t="str">
        <x:v>Tactile-WAM jointly models visual, tactile, and action information with tactile asymmetric attention. It directs contact information toward action prediction while limiting interference with video generation.</x:v>
      </x:c>
      <x:c r="G119" s="92" t="str">
        <x:v>https://arxiv.org/abs/2606.26663</x:v>
      </x:c>
      <x:c r="H119" s="85" t="str">
        <x:v>Proposed include</x:v>
      </x:c>
      <x:c r="I119" s="93" t="str">
        <x:v>Include</x:v>
      </x:c>
      <x:c r="J119" s="85" t="str">
        <x:v>Paper</x:v>
      </x:c>
      <x:c r="K119" s="85" t="str">
        <x:v>Visuotactile world-action model</x:v>
      </x:c>
      <x:c r="L119" s="85" t="str">
        <x:v>VLA overlap; WAM; tactile</x:v>
      </x:c>
      <x:c r="M119" s="85" t="str">
        <x:v>manipulation</x:v>
      </x:c>
      <x:c r="N119" s="85" t="str">
        <x:v>Current manuscript</x:v>
      </x:c>
      <x:c r="O119" s="85" t="str">
        <x:v>arXiv:2606.26663</x:v>
      </x:c>
      <x:c r="P119" s="85" t="str">
        <x:v>Primary source checked this update</x:v>
      </x:c>
      <x:c r="Q119" s="85" t="str">
        <x:v>2026-10-01</x:v>
      </x:c>
      <x:c r="R119" s="85" t="str">
        <x:v>arXiv:2606.26663v3, abstract and submission history</x:v>
      </x:c>
      <x:c r="S119" s="85" t="str">
        <x:v>dreamtac</x:v>
      </x:c>
      <x:c r="T119" s="85" t="str">
        <x:v>manuscript.tex:1137; manuscript.tex:610; manuscript.tex:641</x:v>
      </x:c>
      <x:c r="U119" s="85" t="str">
        <x:v>Joint visual/tactile/action modeling is evaluated on contact-rich simulation and real robot tasks.</x:v>
      </x:c>
      <x:c r="V119" s="85" t="str"/>
    </x:row>
    <x:row r="120" ht="69" customHeight="1">
      <x:c r="A120" s="85" t="str">
        <x:v>R119</x:v>
      </x:c>
      <x:c r="B120" s="85" t="str">
        <x:v>World model</x:v>
      </x:c>
      <x:c r="C120" s="85" t="str">
        <x:v>TD-MPC2</x:v>
      </x:c>
      <x:c r="D120" s="91" t="n">
        <x:v>2023</x:v>
      </x:c>
      <x:c r="E120" s="85" t="str">
        <x:v>TD-MPC2: Scalable, robust world models for continuous control</x:v>
      </x:c>
      <x:c r="F120" s="85" t="str">
        <x:v>TD-MPC2 learns task-conditioned latent dynamics and value functions for model-predictive control. Its evaluation includes Meta-World and ManiSkill2 manipulation alongside other continuous-control domains.</x:v>
      </x:c>
      <x:c r="G120" s="92" t="str">
        <x:v>https://arxiv.org/abs/2310.16828</x:v>
      </x:c>
      <x:c r="H120" s="85" t="str">
        <x:v>Proposed include</x:v>
      </x:c>
      <x:c r="I120" s="93" t="str">
        <x:v>Include</x:v>
      </x:c>
      <x:c r="J120" s="85" t="str">
        <x:v>Paper</x:v>
      </x:c>
      <x:c r="K120" s="85" t="str">
        <x:v>Action-conditioned latent model-predictive control</x:v>
      </x:c>
      <x:c r="L120" s="85" t="str">
        <x:v>latent planning; model-based RL; simulation</x:v>
      </x:c>
      <x:c r="M120" s="85" t="str">
        <x:v>manipulation</x:v>
      </x:c>
      <x:c r="N120" s="85" t="str">
        <x:v>Current manuscript</x:v>
      </x:c>
      <x:c r="O120" s="85" t="str">
        <x:v>arXiv:2310.16828</x:v>
      </x:c>
      <x:c r="P120" s="85" t="str">
        <x:v>Primary source checked this update</x:v>
      </x:c>
      <x:c r="Q120" s="85" t="str">
        <x:v>2026-10-01</x:v>
      </x:c>
      <x:c r="R120" s="85" t="str">
        <x:v>arXiv:2310.16828v2, Sec. 4 / Fig. 2, Appendix C, Tables 3-4 (Meta-World and ManiSkill2 manipulation)</x:v>
      </x:c>
      <x:c r="S120" s="85" t="str">
        <x:v>tdmpc2</x:v>
      </x:c>
      <x:c r="T120" s="85" t="str">
        <x:v>Table tab:wm-master; manuscript.tex:1048; manuscript.tex:1167; manuscript.tex:569; manuscript.tex:764; tab:wm-master</x:v>
      </x:c>
      <x:c r="U120" s="85" t="str">
        <x:v>Evaluates explicit manipulation suites Meta-World and ManiSkill2, including multi-object tasks.</x:v>
      </x:c>
      <x:c r="V120" s="85" t="str">
        <x:v> Year column uses first arXiv submission (2023); supplied publication/reference year was 2024. Year differs from the manuscript citation; register uses the documented source year.</x:v>
      </x:c>
    </x:row>
    <x:row r="121" ht="61" customHeight="1">
      <x:c r="A121" s="85" t="str">
        <x:v>R120</x:v>
      </x:c>
      <x:c r="B121" s="85" t="str">
        <x:v>World model</x:v>
      </x:c>
      <x:c r="C121" s="85" t="str">
        <x:v>TesserAct</x:v>
      </x:c>
      <x:c r="D121" s="91" t="n">
        <x:v>2025</x:v>
      </x:c>
      <x:c r="E121" s="85" t="str">
        <x:v>TesserAct: Learning 4D embodied world models</x:v>
      </x:c>
      <x:c r="F121" s="85" t="str">
        <x:v>TesserAct predicts RGB, depth, and surface-normal video to represent how three-dimensional scenes evolve. Its multimodal predictions also support learning inverse dynamics for embodied tasks.</x:v>
      </x:c>
      <x:c r="G121" s="92" t="str">
        <x:v>https://arxiv.org/abs/2504.20995</x:v>
      </x:c>
      <x:c r="H121" s="85" t="str">
        <x:v>Proposed include</x:v>
      </x:c>
      <x:c r="I121" s="93" t="str">
        <x:v>Include</x:v>
      </x:c>
      <x:c r="J121" s="85" t="str">
        <x:v>Paper</x:v>
      </x:c>
      <x:c r="K121" s="85" t="str">
        <x:v>Multimodal geometric video prediction</x:v>
      </x:c>
      <x:c r="L121" s="85" t="str">
        <x:v>RGB-D-normal prediction; inverse dynamics</x:v>
      </x:c>
      <x:c r="M121" s="85" t="str">
        <x:v>manipulation</x:v>
      </x:c>
      <x:c r="N121" s="85" t="str">
        <x:v>Current manuscript</x:v>
      </x:c>
      <x:c r="O121" s="85" t="str">
        <x:v>arXiv:2504.20995</x:v>
      </x:c>
      <x:c r="P121" s="85" t="str">
        <x:v>Prior primary-source check retained</x:v>
      </x:c>
      <x:c r="Q121" s="85" t="str"/>
      <x:c r="R121" s="85" t="str">
        <x:v>Prior companion model catalogue and Current References primary-source link; not reopened this update</x:v>
      </x:c>
      <x:c r="S121" s="85" t="str">
        <x:v>tesseract</x:v>
      </x:c>
      <x:c r="T121" s="85" t="str">
        <x:v>Table tab:wm-master; manuscript.tex:610; manuscript.tex:728; manuscript.tex:776; tab:wm-master</x:v>
      </x:c>
      <x:c r="U121" s="85" t="str">
        <x:v>Predicts scene geometry and appearance and connects these predictions to inverse-dynamics manipulation policies.</x:v>
      </x:c>
      <x:c r="V121" s="85" t="str">
        <x:v>Existing primary-source identity and summary retained from the previously checked companion catalogue; this update does not claim a fresh full-text audit. Individual prior-check date was not recorded.</x:v>
      </x:c>
    </x:row>
    <x:row r="122" ht="61" customHeight="1">
      <x:c r="A122" s="85" t="str">
        <x:v>R121</x:v>
      </x:c>
      <x:c r="B122" s="85" t="str">
        <x:v>World model</x:v>
      </x:c>
      <x:c r="C122" s="85" t="str">
        <x:v>TouchWorld</x:v>
      </x:c>
      <x:c r="D122" s="91" t="n">
        <x:v>2026</x:v>
      </x:c>
      <x:c r="E122" s="85" t="str">
        <x:v>TouchWorld: A Predictive and Reactive Tactile Foundation Model for Dexterous Manipulation</x:v>
      </x:c>
      <x:c r="F122" s="85" t="str">
        <x:v>TouchWorld combines predicted tactile subgoals and visuomotor action chunks with a faster tactile and proprioceptive correction policy. This joins predictive and reactive control for contact-rich dexterous manipulation.</x:v>
      </x:c>
      <x:c r="G122" s="92" t="str">
        <x:v>https://arxiv.org/abs/2607.07287</x:v>
      </x:c>
      <x:c r="H122" s="85" t="str">
        <x:v>Proposed include</x:v>
      </x:c>
      <x:c r="I122" s="93" t="str">
        <x:v>Include</x:v>
      </x:c>
      <x:c r="J122" s="85" t="str">
        <x:v>Paper</x:v>
      </x:c>
      <x:c r="K122" s="85" t="str">
        <x:v>Predictive and reactive tactile policy hierarchy</x:v>
      </x:c>
      <x:c r="L122" s="85" t="str">
        <x:v>VLA overlap; WAM; hierarchical control; tactile</x:v>
      </x:c>
      <x:c r="M122" s="85" t="str">
        <x:v>manipulation</x:v>
      </x:c>
      <x:c r="N122" s="85" t="str">
        <x:v>Current manuscript</x:v>
      </x:c>
      <x:c r="O122" s="85" t="str">
        <x:v>arXiv:2607.07287</x:v>
      </x:c>
      <x:c r="P122" s="85" t="str">
        <x:v>Primary source checked this update</x:v>
      </x:c>
      <x:c r="Q122" s="85" t="str">
        <x:v>2026-10-01</x:v>
      </x:c>
      <x:c r="R122" s="85" t="str">
        <x:v>arXiv:2607.07287v2, abstract and submission history</x:v>
      </x:c>
      <x:c r="S122" s="85" t="str">
        <x:v>touchworld</x:v>
      </x:c>
      <x:c r="T122" s="85" t="str">
        <x:v>manuscript.tex:610; manuscript.tex:641</x:v>
      </x:c>
      <x:c r="U122" s="85" t="str">
        <x:v>Tactile world-model subgoals and fast residual control are evaluated in dexterous contact-rich manipulation.</x:v>
      </x:c>
      <x:c r="V122" s="85" t="str"/>
    </x:row>
    <x:row r="123" ht="61" customHeight="1">
      <x:c r="A123" s="85" t="str">
        <x:v>R122</x:v>
      </x:c>
      <x:c r="B123" s="85" t="str">
        <x:v>World model</x:v>
      </x:c>
      <x:c r="C123" s="85" t="str">
        <x:v>UniPi</x:v>
      </x:c>
      <x:c r="D123" s="91" t="n">
        <x:v>2023</x:v>
      </x:c>
      <x:c r="E123" s="85" t="str">
        <x:v>Learning universal policies via text-guided video generation</x:v>
      </x:c>
      <x:c r="F123" s="85" t="str">
        <x:v>UniPi generates a language-conditioned video plan and recovers executable actions through inverse dynamics. The generated plan is a visual action proposal rather than a forward prediction conditioned on supplied candidate robot actions.</x:v>
      </x:c>
      <x:c r="G123" s="92" t="str">
        <x:v>https://arxiv.org/abs/2302.00111</x:v>
      </x:c>
      <x:c r="H123" s="85" t="str">
        <x:v>Proposed include</x:v>
      </x:c>
      <x:c r="I123" s="93" t="str">
        <x:v>Include</x:v>
      </x:c>
      <x:c r="J123" s="85" t="str">
        <x:v>Paper</x:v>
      </x:c>
      <x:c r="K123" s="85" t="str">
        <x:v>Language-conditioned video planning</x:v>
      </x:c>
      <x:c r="L123" s="85" t="str">
        <x:v>inverse dynamics; visual planning</x:v>
      </x:c>
      <x:c r="M123" s="85" t="str">
        <x:v>manipulation</x:v>
      </x:c>
      <x:c r="N123" s="85" t="str">
        <x:v>Current manuscript</x:v>
      </x:c>
      <x:c r="O123" s="85" t="str">
        <x:v>arXiv:2302.00111</x:v>
      </x:c>
      <x:c r="P123" s="85" t="str">
        <x:v>Prior primary-source check retained</x:v>
      </x:c>
      <x:c r="Q123" s="85" t="str"/>
      <x:c r="R123" s="85" t="str">
        <x:v>Prior companion model catalogue and Current References primary-source link; not reopened this update</x:v>
      </x:c>
      <x:c r="S123" s="85" t="str">
        <x:v>unipi</x:v>
      </x:c>
      <x:c r="T123" s="85" t="str">
        <x:v>Table tab:wm-master; manuscript.tex:578; manuscript.tex:766; tab:wm-master</x:v>
      </x:c>
      <x:c r="U123" s="85" t="str">
        <x:v>Task-conditioned video generation plus inverse dynamics is evaluated for robot manipulation.</x:v>
      </x:c>
      <x:c r="V123" s="85" t="str">
        <x:v>Existing primary-source identity and summary retained from the previously checked companion catalogue; this update does not claim a fresh full-text audit. Individual prior-check date was not recorded.</x:v>
      </x:c>
    </x:row>
    <x:row r="124" ht="83" customHeight="1">
      <x:c r="A124" s="85" t="str">
        <x:v>R123</x:v>
      </x:c>
      <x:c r="B124" s="85" t="str">
        <x:v>World model</x:v>
      </x:c>
      <x:c r="C124" s="85" t="str">
        <x:v>UniSim</x:v>
      </x:c>
      <x:c r="D124" s="91" t="n">
        <x:v>2023</x:v>
      </x:c>
      <x:c r="E124" s="85" t="str">
        <x:v>Learning interactive real-world simulators</x:v>
      </x:c>
      <x:c r="F124" s="85" t="str">
        <x:v>UniSim learns an interactive video simulator that responds to high-level instructions or low-level controls. It supports policy learning and evaluation through generated environment interactions.</x:v>
      </x:c>
      <x:c r="G124" s="92" t="str">
        <x:v>https://arxiv.org/abs/2310.06114</x:v>
      </x:c>
      <x:c r="H124" s="85" t="str">
        <x:v>Proposed include</x:v>
      </x:c>
      <x:c r="I124" s="93" t="str">
        <x:v>Include</x:v>
      </x:c>
      <x:c r="J124" s="85" t="str">
        <x:v>Paper</x:v>
      </x:c>
      <x:c r="K124" s="85" t="str">
        <x:v>Action-conditioned learned video simulator</x:v>
      </x:c>
      <x:c r="L124" s="85" t="str">
        <x:v>learned simulation; model-based learning</x:v>
      </x:c>
      <x:c r="M124" s="85" t="str">
        <x:v>manipulation</x:v>
      </x:c>
      <x:c r="N124" s="85" t="str">
        <x:v>Current manuscript</x:v>
      </x:c>
      <x:c r="O124" s="85" t="str">
        <x:v>arXiv:2310.06114</x:v>
      </x:c>
      <x:c r="P124" s="85" t="str">
        <x:v>Prior primary-source check retained</x:v>
      </x:c>
      <x:c r="Q124" s="85" t="str"/>
      <x:c r="R124" s="85" t="str">
        <x:v>Prior companion model catalogue and Current References primary-source link; not reopened this update</x:v>
      </x:c>
      <x:c r="S124" s="85" t="str">
        <x:v>unisim</x:v>
      </x:c>
      <x:c r="T124" s="85" t="str">
        <x:v>Table tab:wm-master; manuscript.tex:578; manuscript.tex:767; tab:wm-master</x:v>
      </x:c>
      <x:c r="U124" s="85" t="str">
        <x:v>Interactive video simulation supports robot learning and evaluation.</x:v>
      </x:c>
      <x:c r="V124" s="85" t="str">
        <x:v>Existing primary-source identity and summary retained from the previously checked companion catalogue; this update does not claim a fresh full-text audit. Individual prior-check date was not recorded. Year column uses first arXiv submission (2023); supplied publication/reference year was 2024. Year differs from the manuscript citation; register uses the documented source year.</x:v>
      </x:c>
    </x:row>
    <x:row r="125" ht="153" customHeight="1">
      <x:c r="A125" s="85" t="str">
        <x:v>R124</x:v>
      </x:c>
      <x:c r="B125" s="85" t="str">
        <x:v>World model</x:v>
      </x:c>
      <x:c r="C125" s="85" t="str">
        <x:v>V-JEPA 2 / V-JEPA 2-AC</x:v>
      </x:c>
      <x:c r="D125" s="91" t="n">
        <x:v>2025</x:v>
      </x:c>
      <x:c r="E125" s="85" t="str">
        <x:v>V-JEPA 2: Self-supervised video models enable understanding, prediction and planning</x:v>
      </x:c>
      <x:c r="F125" s="85" t="str">
        <x:v>V-JEPA 2 learns predictive representations through action-free video pretraining. The same paper introduces the action-conditioned V-JEPA 2-AC adaptation and evaluates image-goal planning for robot manipulation.</x:v>
      </x:c>
      <x:c r="G125" s="92" t="str">
        <x:v>https://arxiv.org/abs/2506.09985</x:v>
      </x:c>
      <x:c r="H125" s="85" t="str">
        <x:v>Proposed include</x:v>
      </x:c>
      <x:c r="I125" s="93" t="str">
        <x:v>Include</x:v>
      </x:c>
      <x:c r="J125" s="85" t="str">
        <x:v>Paper</x:v>
      </x:c>
      <x:c r="K125" s="85" t="str">
        <x:v>Predictive representation with action-conditioned adaptation</x:v>
      </x:c>
      <x:c r="L125" s="85" t="str">
        <x:v>action-conditioned adaptation; human video; latent planning</x:v>
      </x:c>
      <x:c r="M125" s="85" t="str">
        <x:v>manipulation</x:v>
      </x:c>
      <x:c r="N125" s="85" t="str">
        <x:v>Current manuscript</x:v>
      </x:c>
      <x:c r="O125" s="85" t="str">
        <x:v>arXiv:2506.09985</x:v>
      </x:c>
      <x:c r="P125" s="85" t="str">
        <x:v>Prior primary-source check retained</x:v>
      </x:c>
      <x:c r="Q125" s="85" t="str"/>
      <x:c r="R125" s="85" t="str">
        <x:v>Prior companion model catalogue and Current References primary-source link; not reopened this update</x:v>
      </x:c>
      <x:c r="S125" s="85" t="str">
        <x:v>vjepa2</x:v>
      </x:c>
      <x:c r="T125" s="85" t="str">
        <x:v>Table tab:wm-master; manuscript.tex:1058; manuscript.tex:1165; manuscript.tex:1270; manuscript.tex:482; manuscript.tex:487; manuscript.tex:519; manuscript.tex:601; manuscript.tex:663; manuscript.tex:726; manuscript.tex:734; manuscript.tex:772; manuscript.tex:773; manuscript.tex:839; manuscript.tex:97; tab:wm-master; tab:datasets</x:v>
      </x:c>
      <x:c r="U125" s="85" t="str">
        <x:v>The same report presents action-free pretraining and V-JEPA 2-AC manipulation planning.</x:v>
      </x:c>
      <x:c r="V125" s="85" t="str">
        <x:v>V-JEPA 2 backbone and V-JEPA 2-AC adaptation share one paper; VideoMix22M is a resource in this paper, not an additional report. Existing primary-source identity and summary retained from the previously checked companion catalogue; this update does not claim a fresh full-text audit. Individual prior-check date was not recorded.</x:v>
      </x:c>
    </x:row>
    <x:row r="126" ht="83" customHeight="1">
      <x:c r="A126" s="85" t="str">
        <x:v>R125</x:v>
      </x:c>
      <x:c r="B126" s="85" t="str">
        <x:v>World model</x:v>
      </x:c>
      <x:c r="C126" s="85" t="str">
        <x:v>Video Language Planning (VLP)</x:v>
      </x:c>
      <x:c r="D126" s="91" t="n">
        <x:v>2023</x:v>
      </x:c>
      <x:c r="E126" s="85" t="str">
        <x:v>Video language planning</x:v>
      </x:c>
      <x:c r="F126" s="85" t="str">
        <x:v>Video Language Planning searches over language proposals and generated video continuations using vision-language policies and value functions. A goal-conditioned policy executes the resulting visual plan.</x:v>
      </x:c>
      <x:c r="G126" s="92" t="str">
        <x:v>https://arxiv.org/abs/2310.10625</x:v>
      </x:c>
      <x:c r="H126" s="85" t="str">
        <x:v>Proposed include</x:v>
      </x:c>
      <x:c r="I126" s="93" t="str">
        <x:v>Include</x:v>
      </x:c>
      <x:c r="J126" s="85" t="str">
        <x:v>Paper</x:v>
      </x:c>
      <x:c r="K126" s="85" t="str">
        <x:v>Language-guided video planning</x:v>
      </x:c>
      <x:c r="L126" s="85" t="str">
        <x:v>language planning; visual planning</x:v>
      </x:c>
      <x:c r="M126" s="85" t="str">
        <x:v>manipulation</x:v>
      </x:c>
      <x:c r="N126" s="85" t="str">
        <x:v>Current manuscript</x:v>
      </x:c>
      <x:c r="O126" s="85" t="str">
        <x:v>arXiv:2310.10625</x:v>
      </x:c>
      <x:c r="P126" s="85" t="str">
        <x:v>Prior primary-source check retained</x:v>
      </x:c>
      <x:c r="Q126" s="85" t="str"/>
      <x:c r="R126" s="85" t="str">
        <x:v>Prior companion model catalogue and Current References primary-source link; not reopened this update</x:v>
      </x:c>
      <x:c r="S126" s="85" t="str">
        <x:v>vlp</x:v>
      </x:c>
      <x:c r="T126" s="85" t="str">
        <x:v>manuscript.tex:578</x:v>
      </x:c>
      <x:c r="U126" s="85" t="str">
        <x:v>Search over language and video plans is executed by a goal-conditioned manipulation policy.</x:v>
      </x:c>
      <x:c r="V126" s="85" t="str">
        <x:v>Existing primary-source identity and summary retained from the previously checked companion catalogue; this update does not claim a fresh full-text audit. Individual prior-check date was not recorded. Year column uses first arXiv submission (2023); supplied publication/reference year was 2024. Year differs from the manuscript citation; register uses the documented source year.</x:v>
      </x:c>
    </x:row>
    <x:row r="127" ht="61" customHeight="1">
      <x:c r="A127" s="85" t="str">
        <x:v>R126</x:v>
      </x:c>
      <x:c r="B127" s="85" t="str">
        <x:v>World model</x:v>
      </x:c>
      <x:c r="C127" s="85" t="str">
        <x:v>VLA-JEPA</x:v>
      </x:c>
      <x:c r="D127" s="91" t="n">
        <x:v>2026</x:v>
      </x:c>
      <x:c r="E127" s="85" t="str">
        <x:v>VLA-JEPA: Enhancing vision-language-action model with latent world model</x:v>
      </x:c>
      <x:c r="F127" s="85" t="str">
        <x:v>VLA-JEPA pretrains a policy backbone to predict future latent states from current observations. It subsequently adapts an action head, with future frames serving as training targets rather than inputs to the prediction pathway.</x:v>
      </x:c>
      <x:c r="G127" s="92" t="str">
        <x:v>https://arxiv.org/abs/2602.10098</x:v>
      </x:c>
      <x:c r="H127" s="85" t="str">
        <x:v>Proposed include</x:v>
      </x:c>
      <x:c r="I127" s="93" t="str">
        <x:v>Include</x:v>
      </x:c>
      <x:c r="J127" s="85" t="str">
        <x:v>Paper</x:v>
      </x:c>
      <x:c r="K127" s="85" t="str">
        <x:v>Latent predictive policy pretraining</x:v>
      </x:c>
      <x:c r="L127" s="85" t="str">
        <x:v>VLA overlap; WAM; auxiliary prediction</x:v>
      </x:c>
      <x:c r="M127" s="85" t="str">
        <x:v>manipulation</x:v>
      </x:c>
      <x:c r="N127" s="85" t="str">
        <x:v>Current manuscript</x:v>
      </x:c>
      <x:c r="O127" s="85" t="str">
        <x:v>arXiv:2602.10098</x:v>
      </x:c>
      <x:c r="P127" s="85" t="str">
        <x:v>Primary source checked this update</x:v>
      </x:c>
      <x:c r="Q127" s="85" t="str">
        <x:v>2026-10-01</x:v>
      </x:c>
      <x:c r="R127" s="85" t="str">
        <x:v>arXiv:2602.10098, primary abstract; official project ginwind.github.io/VLA-JEPA, Method Overview</x:v>
      </x:c>
      <x:c r="S127" s="85" t="str">
        <x:v>jepavla</x:v>
      </x:c>
      <x:c r="T127" s="85" t="str">
        <x:v>Table tab:wm-master; manuscript.tex:603; manuscript.tex:774; tab:wm-master</x:v>
      </x:c>
      <x:c r="U127" s="85" t="str">
        <x:v>Future-state representation targets improve VLA manipulation learning; future frames are supervision, not online prediction inputs.</x:v>
      </x:c>
      <x:c r="V127" s="85" t="str">
        <x:v>Predictive training or joint generation does not by itself establish a forward model for supplied candidate actions or online candidate search.</x:v>
      </x:c>
    </x:row>
    <x:row r="128" ht="83" customHeight="1">
      <x:c r="A128" s="85" t="str">
        <x:v>R127</x:v>
      </x:c>
      <x:c r="B128" s="85" t="str">
        <x:v>World model</x:v>
      </x:c>
      <x:c r="C128" s="85" t="str">
        <x:v>World-Gymnast</x:v>
      </x:c>
      <x:c r="D128" s="91" t="n">
        <x:v>2026</x:v>
      </x:c>
      <x:c r="E128" s="85" t="str">
        <x:v>World-Gymnast: Training robots with reinforcement learning in a world model</x:v>
      </x:c>
      <x:c r="F128" s="85" t="str">
        <x:v>World-Gymnast trains robot policies with reinforcement learning inside a learned environment and tests transfer to hardware. Its physical-task comparisons provide evidence about the complete training-and-simulation package rather than isolating every component.</x:v>
      </x:c>
      <x:c r="G128" s="92" t="str">
        <x:v>https://arxiv.org/abs/2602.02454</x:v>
      </x:c>
      <x:c r="H128" s="85" t="str">
        <x:v>Proposed include</x:v>
      </x:c>
      <x:c r="I128" s="93" t="str">
        <x:v>Include</x:v>
      </x:c>
      <x:c r="J128" s="85" t="str">
        <x:v>Paper</x:v>
      </x:c>
      <x:c r="K128" s="85" t="str">
        <x:v>Learned environment for robot reinforcement learning</x:v>
      </x:c>
      <x:c r="L128" s="85" t="str">
        <x:v>learned simulation; model-based RL; real robot transfer</x:v>
      </x:c>
      <x:c r="M128" s="85" t="str">
        <x:v>manipulation</x:v>
      </x:c>
      <x:c r="N128" s="85" t="str">
        <x:v>Current manuscript</x:v>
      </x:c>
      <x:c r="O128" s="85" t="str">
        <x:v>arXiv:2602.02454</x:v>
      </x:c>
      <x:c r="P128" s="85" t="str">
        <x:v>Prior primary-source check retained</x:v>
      </x:c>
      <x:c r="Q128" s="85" t="str"/>
      <x:c r="R128" s="85" t="str">
        <x:v>Prior companion model catalogue and Current References primary-source link; not reopened this update</x:v>
      </x:c>
      <x:c r="S128" s="85" t="str">
        <x:v>sharma2026worldgymnast</x:v>
      </x:c>
      <x:c r="T128" s="85" t="str">
        <x:v>Table tab:wm-master; manuscript.tex:1146; manuscript.tex:623; manuscript.tex:628; manuscript.tex:678; manuscript.tex:724; manuscript.tex:782; tab:wm-master</x:v>
      </x:c>
      <x:c r="U128" s="85" t="str">
        <x:v>Evaluates learned-world-model policy training and four-task transfer to physical robot manipulation.</x:v>
      </x:c>
      <x:c r="V128" s="85" t="str">
        <x:v>Existing primary-source identity and summary retained from the previously checked companion catalogue; this update does not claim a fresh full-text audit. Individual prior-check date was not recorded.</x:v>
      </x:c>
    </x:row>
    <x:row r="129" ht="61" customHeight="1">
      <x:c r="A129" s="85" t="str">
        <x:v>R128</x:v>
      </x:c>
      <x:c r="B129" s="85" t="str">
        <x:v>World model</x:v>
      </x:c>
      <x:c r="C129" s="85" t="str">
        <x:v>WorldEval / Policy2Vec</x:v>
      </x:c>
      <x:c r="D129" s="91" t="n">
        <x:v>2025</x:v>
      </x:c>
      <x:c r="E129" s="85" t="str">
        <x:v>WorldEval: World model as real-world robot policies evaluator</x:v>
      </x:c>
      <x:c r="F129" s="85" t="str">
        <x:v>WorldEval adapts video generation to action-following simulation using Policy2Vec. It evaluates robot policies through generated rollouts instead of requiring each evaluation to run on hardware.</x:v>
      </x:c>
      <x:c r="G129" s="92" t="str">
        <x:v>https://arxiv.org/abs/2505.19017</x:v>
      </x:c>
      <x:c r="H129" s="85" t="str">
        <x:v>Proposed include</x:v>
      </x:c>
      <x:c r="I129" s="93" t="str">
        <x:v>Include</x:v>
      </x:c>
      <x:c r="J129" s="85" t="str">
        <x:v>Paper</x:v>
      </x:c>
      <x:c r="K129" s="85" t="str">
        <x:v>Learned simulator for policy evaluation</x:v>
      </x:c>
      <x:c r="L129" s="85" t="str">
        <x:v>learned simulation; policy evaluation</x:v>
      </x:c>
      <x:c r="M129" s="85" t="str">
        <x:v>manipulation</x:v>
      </x:c>
      <x:c r="N129" s="85" t="str">
        <x:v>Current manuscript</x:v>
      </x:c>
      <x:c r="O129" s="85" t="str">
        <x:v>arXiv:2505.19017</x:v>
      </x:c>
      <x:c r="P129" s="85" t="str">
        <x:v>Prior primary-source check retained</x:v>
      </x:c>
      <x:c r="Q129" s="85" t="str"/>
      <x:c r="R129" s="85" t="str">
        <x:v>Prior companion model catalogue and Current References primary-source link; not reopened this update</x:v>
      </x:c>
      <x:c r="S129" s="85" t="str">
        <x:v>policyeval</x:v>
      </x:c>
      <x:c r="T129" s="85" t="str">
        <x:v>Table tab:wm-master; manuscript.tex:621; manuscript.tex:780; tab:wm-master</x:v>
      </x:c>
      <x:c r="U129" s="85" t="str">
        <x:v>WorldEval/Policy2Vec is a learned-simulation evaluation method for robot policies, not only a benchmark.</x:v>
      </x:c>
      <x:c r="V129" s="85" t="str">
        <x:v>Existing primary-source identity and summary retained from the previously checked companion catalogue; this update does not claim a fresh full-text audit. Individual prior-check date was not recorded.</x:v>
      </x:c>
    </x:row>
    <x:row r="130" ht="97" customHeight="1">
      <x:c r="A130" s="85" t="str">
        <x:v>R129</x:v>
      </x:c>
      <x:c r="B130" s="85" t="str">
        <x:v>World model</x:v>
      </x:c>
      <x:c r="C130" s="85" t="str">
        <x:v>WorldVLA</x:v>
      </x:c>
      <x:c r="D130" s="91" t="n">
        <x:v>2025</x:v>
      </x:c>
      <x:c r="E130" s="85" t="str">
        <x:v>WorldVLA: Towards autoregressive action world model</x:v>
      </x:c>
      <x:c r="F130" s="85" t="str">
        <x:v>WorldVLA uses shared autoregressive modeling for robot actions and future observations. Its predictive-training experiments provide evidence about joint learning without establishing a general advantage for online candidate-action search.</x:v>
      </x:c>
      <x:c r="G130" s="92" t="str">
        <x:v>https://arxiv.org/abs/2506.21539</x:v>
      </x:c>
      <x:c r="H130" s="85" t="str">
        <x:v>Proposed include</x:v>
      </x:c>
      <x:c r="I130" s="93" t="str">
        <x:v>Include</x:v>
      </x:c>
      <x:c r="J130" s="85" t="str">
        <x:v>Paper</x:v>
      </x:c>
      <x:c r="K130" s="85" t="str">
        <x:v>Joint action and future-observation modeling</x:v>
      </x:c>
      <x:c r="L130" s="85" t="str">
        <x:v>VLA overlap; WAM; auxiliary prediction</x:v>
      </x:c>
      <x:c r="M130" s="85" t="str">
        <x:v>manipulation</x:v>
      </x:c>
      <x:c r="N130" s="85" t="str">
        <x:v>Current manuscript</x:v>
      </x:c>
      <x:c r="O130" s="85" t="str">
        <x:v>arXiv:2506.21539</x:v>
      </x:c>
      <x:c r="P130" s="85" t="str">
        <x:v>Prior primary-source check retained</x:v>
      </x:c>
      <x:c r="Q130" s="85" t="str"/>
      <x:c r="R130" s="85" t="str">
        <x:v>Prior companion model catalogue and Current References primary-source link; not reopened this update</x:v>
      </x:c>
      <x:c r="S130" s="85" t="str">
        <x:v>worldvla</x:v>
      </x:c>
      <x:c r="T130" s="85" t="str">
        <x:v>Table tab:wm-master; manuscript.tex:1073; manuscript.tex:1122; manuscript.tex:468; manuscript.tex:639; manuscript.tex:722; manuscript.tex:784; manuscript.tex:844; manuscript.tex:97; tab:wm-master</x:v>
      </x:c>
      <x:c r="U130" s="85" t="str">
        <x:v>Manipulation experiments evaluate joint predictive/action training and its ablations.</x:v>
      </x:c>
      <x:c r="V130" s="85" t="str">
        <x:v>Predictive training or joint generation does not by itself establish a forward model for supplied candidate actions or online candidate search. Existing primary-source identity and summary retained from the previously checked companion catalogue; this update does not claim a fresh full-text audit. Individual prior-check date was not recorded.</x:v>
      </x:c>
    </x:row>
    <x:row r="131" ht="61" customHeight="1">
      <x:c r="A131" s="85" t="str">
        <x:v>R130</x:v>
      </x:c>
      <x:c r="B131" s="85" t="str">
        <x:v>World model</x:v>
      </x:c>
      <x:c r="C131" s="85" t="str">
        <x:v>WoW / WoWBench</x:v>
      </x:c>
      <x:c r="D131" s="91" t="n">
        <x:v>2025</x:v>
      </x:c>
      <x:c r="E131" s="85" t="str">
        <x:v>WoW: Towards a World omniscient World model Through Embodied Interaction</x:v>
      </x:c>
      <x:c r="F131" s="85" t="str">
        <x:v>WoW trains a generative world model on robot-interaction trajectories and uses a vision-language evaluator to refine proposed video plans. An inverse-dynamics model translates plans into actions, while the same paper introduces WoWBench for physical consistency.</x:v>
      </x:c>
      <x:c r="G131" s="92" t="str">
        <x:v>https://arxiv.org/abs/2509.22642</x:v>
      </x:c>
      <x:c r="H131" s="85" t="str">
        <x:v>Proposed include</x:v>
      </x:c>
      <x:c r="I131" s="93" t="str">
        <x:v>Include</x:v>
      </x:c>
      <x:c r="J131" s="85" t="str">
        <x:v>Paper</x:v>
      </x:c>
      <x:c r="K131" s="85" t="str">
        <x:v>Robot-interaction video model with plan refinement</x:v>
      </x:c>
      <x:c r="L131" s="85" t="str">
        <x:v>Benchmark/dataset/evaluation overlap; inverse dynamics; video planning</x:v>
      </x:c>
      <x:c r="M131" s="85" t="str">
        <x:v>manipulation</x:v>
      </x:c>
      <x:c r="N131" s="85" t="str">
        <x:v>Additional search</x:v>
      </x:c>
      <x:c r="O131" s="85" t="str">
        <x:v>arXiv:2509.22642</x:v>
      </x:c>
      <x:c r="P131" s="85" t="str">
        <x:v>Primary source checked this update</x:v>
      </x:c>
      <x:c r="Q131" s="85" t="str">
        <x:v>2026-10-01</x:v>
      </x:c>
      <x:c r="R131" s="85" t="str">
        <x:v>arXiv:2509.22642v2, abstract and submission history</x:v>
      </x:c>
      <x:c r="S131" s="85" t="str">
        <x:v>wow</x:v>
      </x:c>
      <x:c r="T131" s="85" t="str"/>
      <x:c r="U131" s="85" t="str">
        <x:v>Adds a robot-interaction world-model study; WoWBench is a secondary contribution in this same paper and must not create a second report count.</x:v>
      </x:c>
      <x:c r="V131" s="85" t="str">
        <x:v>Supplemental primary-source search on 2026-10-01; not cited in the present manuscript. Identity and eligibility assessed from primary abstract/metadata, not an exhaustive numerical replication.</x:v>
      </x:c>
    </x:row>
    <x:row r="132" ht="61" customHeight="1">
      <x:c r="A132" s="85" t="str">
        <x:v>R131</x:v>
      </x:c>
      <x:c r="B132" s="85" t="str">
        <x:v>World model</x:v>
      </x:c>
      <x:c r="C132" s="85" t="str">
        <x:v>Dreamer (first generation)</x:v>
      </x:c>
      <x:c r="D132" s="91" t="n">
        <x:v>2019</x:v>
      </x:c>
      <x:c r="E132" s="85" t="str">
        <x:v>Dream to Control: Learning Behaviors by Latent Imagination</x:v>
      </x:c>
      <x:c r="F132" s="85" t="str">
        <x:v>Dreamer learns a policy and value function from latent imagined trajectories, propagating gradients through predicted states. The original report is retained as general visual continuous-control background.</x:v>
      </x:c>
      <x:c r="G132" s="92" t="str">
        <x:v>https://arxiv.org/abs/1912.01603</x:v>
      </x:c>
      <x:c r="H132" s="85" t="str">
        <x:v>Background</x:v>
      </x:c>
      <x:c r="I132" s="93" t="str">
        <x:v>Background</x:v>
      </x:c>
      <x:c r="J132" s="85" t="str">
        <x:v>Paper</x:v>
      </x:c>
      <x:c r="K132" s="85" t="str">
        <x:v>Foundational latent imagination control</x:v>
      </x:c>
      <x:c r="L132" s="85" t="str">
        <x:v>historical context; model-based RL</x:v>
      </x:c>
      <x:c r="M132" s="85" t="str">
        <x:v>general robotics</x:v>
      </x:c>
      <x:c r="N132" s="85" t="str">
        <x:v>Existing companion catalogue</x:v>
      </x:c>
      <x:c r="O132" s="85" t="str">
        <x:v>arXiv:1912.01603</x:v>
      </x:c>
      <x:c r="P132" s="85" t="str">
        <x:v>Primary source checked this update</x:v>
      </x:c>
      <x:c r="Q132" s="85" t="str">
        <x:v>2026-10-01</x:v>
      </x:c>
      <x:c r="R132" s="85" t="str">
        <x:v>arXiv:1912.01603v3, abstract and submission history</x:v>
      </x:c>
      <x:c r="S132" s="85" t="str">
        <x:v>dreamer</x:v>
      </x:c>
      <x:c r="T132" s="85" t="str"/>
      <x:c r="U132" s="85" t="str">
        <x:v>Retained as historical general continuous-control context; not counted as a manipulation-focused report in the proposed core set.</x:v>
      </x:c>
      <x:c r="V132" s="85" t="str">
        <x:v>Already present in the companion model catalogue but not cited in the current manuscript; retained here as a separately traceable source.</x:v>
      </x:c>
    </x:row>
    <x:row r="133" ht="97" customHeight="1">
      <x:c r="A133" s="85" t="str">
        <x:v>R132</x:v>
      </x:c>
      <x:c r="B133" s="85" t="str">
        <x:v>World model</x:v>
      </x:c>
      <x:c r="C133" s="85" t="str">
        <x:v>Dreamer 4</x:v>
      </x:c>
      <x:c r="D133" s="91" t="n">
        <x:v>2025</x:v>
      </x:c>
      <x:c r="E133" s="85" t="str">
        <x:v>Training agents inside of scalable world models</x:v>
      </x:c>
      <x:c r="F133" s="85" t="str">
        <x:v>Dreamer 4 trains agents inside a scalable video world model learned from offline data. Its main application is Minecraft, while separate ablations examine the amount of action-labeled video required for prediction.</x:v>
      </x:c>
      <x:c r="G133" s="92" t="str">
        <x:v>https://arxiv.org/abs/2509.24527</x:v>
      </x:c>
      <x:c r="H133" s="85" t="str">
        <x:v>Background</x:v>
      </x:c>
      <x:c r="I133" s="93" t="str">
        <x:v>Background</x:v>
      </x:c>
      <x:c r="J133" s="85" t="str">
        <x:v>Paper</x:v>
      </x:c>
      <x:c r="K133" s="85" t="str">
        <x:v>Offline video imagination learning</x:v>
      </x:c>
      <x:c r="L133" s="85" t="str">
        <x:v>game domain; model-based RL</x:v>
      </x:c>
      <x:c r="M133" s="85" t="str">
        <x:v>other</x:v>
      </x:c>
      <x:c r="N133" s="85" t="str">
        <x:v>Current manuscript</x:v>
      </x:c>
      <x:c r="O133" s="85" t="str">
        <x:v>arXiv:2509.24527</x:v>
      </x:c>
      <x:c r="P133" s="85" t="str">
        <x:v>Prior primary-source check retained</x:v>
      </x:c>
      <x:c r="Q133" s="85" t="str"/>
      <x:c r="R133" s="85" t="str">
        <x:v>Prior companion model catalogue and Current References primary-source link; not reopened this update</x:v>
      </x:c>
      <x:c r="S133" s="85" t="str">
        <x:v>dreamer4</x:v>
      </x:c>
      <x:c r="T133" s="85" t="str">
        <x:v>Table tab:wm-master; manuscript.tex:1048; manuscript.tex:1146; manuscript.tex:482; manuscript.tex:487; manuscript.tex:571; manuscript.tex:765; manuscript.tex:97; tab:wm-master</x:v>
      </x:c>
      <x:c r="U133" s="85" t="str">
        <x:v>Main control evidence is Minecraft; no direct robotic manipulation evaluation supports core inclusion.</x:v>
      </x:c>
      <x:c r="V133" s="85" t="str">
        <x:v>Existing primary-source identity and summary retained from the previously checked companion catalogue; this update does not claim a fresh full-text audit. Individual prior-check date was not recorded.</x:v>
      </x:c>
    </x:row>
    <x:row r="134" ht="61" customHeight="1">
      <x:c r="A134" s="85" t="str">
        <x:v>R133</x:v>
      </x:c>
      <x:c r="B134" s="85" t="str">
        <x:v>World model</x:v>
      </x:c>
      <x:c r="C134" s="85" t="str">
        <x:v>DreamerV2</x:v>
      </x:c>
      <x:c r="D134" s="91" t="n">
        <x:v>2020</x:v>
      </x:c>
      <x:c r="E134" s="85" t="str">
        <x:v>Mastering Atari with Discrete World Models</x:v>
      </x:c>
      <x:c r="F134" s="85" t="str">
        <x:v>DreamerV2 learns behavior inside a world model with discrete latent states. Its main experiments use Atari games, making it historical context for this manipulation review.</x:v>
      </x:c>
      <x:c r="G134" s="92" t="str">
        <x:v>https://arxiv.org/abs/2010.02193</x:v>
      </x:c>
      <x:c r="H134" s="85" t="str">
        <x:v>Background</x:v>
      </x:c>
      <x:c r="I134" s="93" t="str">
        <x:v>Background</x:v>
      </x:c>
      <x:c r="J134" s="85" t="str">
        <x:v>Paper</x:v>
      </x:c>
      <x:c r="K134" s="85" t="str">
        <x:v>Discrete latent imagination learning</x:v>
      </x:c>
      <x:c r="L134" s="85" t="str">
        <x:v>game domain; historical context</x:v>
      </x:c>
      <x:c r="M134" s="85" t="str">
        <x:v>other</x:v>
      </x:c>
      <x:c r="N134" s="85" t="str">
        <x:v>Existing companion catalogue</x:v>
      </x:c>
      <x:c r="O134" s="85" t="str">
        <x:v>arXiv:2010.02193</x:v>
      </x:c>
      <x:c r="P134" s="85" t="str">
        <x:v>Primary source checked this update</x:v>
      </x:c>
      <x:c r="Q134" s="85" t="str">
        <x:v>2026-10-01</x:v>
      </x:c>
      <x:c r="R134" s="85" t="str">
        <x:v>arXiv:2010.02193, title/abstract and source identity</x:v>
      </x:c>
      <x:c r="S134" s="85" t="str">
        <x:v>dreamerv2</x:v>
      </x:c>
      <x:c r="T134" s="85" t="str"/>
      <x:c r="U134" s="85" t="str">
        <x:v>Primary evaluation concerns Atari games rather than robotic manipulation.</x:v>
      </x:c>
      <x:c r="V134" s="85" t="str">
        <x:v>Already present in the companion model catalogue but not cited in the current manuscript; retained here as a separately traceable source.</x:v>
      </x:c>
    </x:row>
    <x:row r="135" ht="69" customHeight="1">
      <x:c r="A135" s="85" t="str">
        <x:v>R134</x:v>
      </x:c>
      <x:c r="B135" s="85" t="str">
        <x:v>World model</x:v>
      </x:c>
      <x:c r="C135" s="85" t="str">
        <x:v>Genie 2</x:v>
      </x:c>
      <x:c r="D135" s="91" t="n">
        <x:v>2024</x:v>
      </x:c>
      <x:c r="E135" s="85" t="str">
        <x:v>Genie 2: A large-scale foundation world model</x:v>
      </x:c>
      <x:c r="F135" s="85" t="str">
        <x:v>Genie 2 is an officially announced generator of interactive three-dimensional visual environments. The cited web announcement is kept separate from the paper count and from validated robot-manipulation evidence.</x:v>
      </x:c>
      <x:c r="G135" s="92" t="str">
        <x:v>https://deepmind.google/blog/genie-2-a-large-scale-foundation-world-model/</x:v>
      </x:c>
      <x:c r="H135" s="85" t="str">
        <x:v>Non-paper source</x:v>
      </x:c>
      <x:c r="I135" s="93" t="str">
        <x:v>Exclude</x:v>
      </x:c>
      <x:c r="J135" s="85" t="str">
        <x:v>Technical release / software</x:v>
      </x:c>
      <x:c r="K135" s="85" t="str">
        <x:v>Interactive video environment technical announcement</x:v>
      </x:c>
      <x:c r="L135" s="85" t="str">
        <x:v>generated environments; vendor release</x:v>
      </x:c>
      <x:c r="M135" s="85" t="str">
        <x:v>other</x:v>
      </x:c>
      <x:c r="N135" s="85" t="str">
        <x:v>Existing companion catalogue</x:v>
      </x:c>
      <x:c r="O135" s="85" t="str">
        <x:v>https://deepmind.google/blog/genie-2-a-large-scale-foundation-world-model</x:v>
      </x:c>
      <x:c r="P135" s="85" t="str">
        <x:v>Prior primary-source check retained</x:v>
      </x:c>
      <x:c r="Q135" s="85" t="str"/>
      <x:c r="R135" s="85" t="str">
        <x:v>Prior companion model catalogue and Current References primary-source link; not reopened this update</x:v>
      </x:c>
      <x:c r="S135" s="85" t="str">
        <x:v>genie2</x:v>
      </x:c>
      <x:c r="T135" s="85" t="str"/>
      <x:c r="U135" s="85" t="str">
        <x:v>Official research announcement; no dedicated research paper is identified in this catalogue and no core manipulation evaluation is established.</x:v>
      </x:c>
      <x:c r="V135" s="85" t="str">
        <x:v>Already present in the companion model catalogue but not cited in the current manuscript; retained here as a separately traceable source. Existing primary-source identity and summary retained from the previously checked companion catalogue; this update does not claim a fresh full-text audit. Individual prior-check date was not recorded.</x:v>
      </x:c>
    </x:row>
    <x:row r="136" ht="69" customHeight="1">
      <x:c r="A136" s="85" t="str">
        <x:v>R135</x:v>
      </x:c>
      <x:c r="B136" s="85" t="str">
        <x:v>World model</x:v>
      </x:c>
      <x:c r="C136" s="85" t="str">
        <x:v>Genie 3</x:v>
      </x:c>
      <x:c r="D136" s="91" t="n">
        <x:v>2025</x:v>
      </x:c>
      <x:c r="E136" s="85" t="str">
        <x:v>Genie 3: A new frontier for world models</x:v>
      </x:c>
      <x:c r="F136" s="85" t="str">
        <x:v>Genie 3 is an officially announced interactive visual environment generator. The cited announcement does not constitute a dedicated manipulation research paper in this register.</x:v>
      </x:c>
      <x:c r="G136" s="92" t="str">
        <x:v>https://deepmind.google/blog/genie-3-a-new-frontier-for-world-models/</x:v>
      </x:c>
      <x:c r="H136" s="85" t="str">
        <x:v>Non-paper source</x:v>
      </x:c>
      <x:c r="I136" s="93" t="str">
        <x:v>Exclude</x:v>
      </x:c>
      <x:c r="J136" s="85" t="str">
        <x:v>Technical release / software</x:v>
      </x:c>
      <x:c r="K136" s="85" t="str">
        <x:v>Interactive video environment technical announcement</x:v>
      </x:c>
      <x:c r="L136" s="85" t="str">
        <x:v>generated environments; vendor release</x:v>
      </x:c>
      <x:c r="M136" s="85" t="str">
        <x:v>other</x:v>
      </x:c>
      <x:c r="N136" s="85" t="str">
        <x:v>Current manuscript</x:v>
      </x:c>
      <x:c r="O136" s="85" t="str">
        <x:v>https://deepmind.google/blog/genie-3-a-new-frontier-for-world-models</x:v>
      </x:c>
      <x:c r="P136" s="85" t="str">
        <x:v>Prior primary-source check retained</x:v>
      </x:c>
      <x:c r="Q136" s="85" t="str"/>
      <x:c r="R136" s="85" t="str">
        <x:v>Prior companion model catalogue and Current References primary-source link; not reopened this update</x:v>
      </x:c>
      <x:c r="S136" s="85" t="str">
        <x:v>genie3</x:v>
      </x:c>
      <x:c r="T136" s="85" t="str">
        <x:v>Table tab:wm-master; manuscript.tex:1053; manuscript.tex:1132; manuscript.tex:580; manuscript.tex:770; tab:wm-master</x:v>
      </x:c>
      <x:c r="U136" s="85" t="str">
        <x:v>Official release is not a separately identified research paper; robot manipulation evidence is not established here.</x:v>
      </x:c>
      <x:c r="V136" s="85" t="str">
        <x:v>Existing primary-source identity and summary retained from the previously checked companion catalogue; this update does not claim a fresh full-text audit. Individual prior-check date was not recorded.</x:v>
      </x:c>
    </x:row>
    <x:row r="137" ht="61" customHeight="1">
      <x:c r="A137" s="85" t="str">
        <x:v>R136</x:v>
      </x:c>
      <x:c r="B137" s="85" t="str">
        <x:v>World model</x:v>
      </x:c>
      <x:c r="C137" s="85" t="str">
        <x:v>I-JEPA — representation precursor</x:v>
      </x:c>
      <x:c r="D137" s="91" t="n">
        <x:v>2023</x:v>
      </x:c>
      <x:c r="E137" s="85" t="str">
        <x:v>Self-supervised learning from images with a joint-embedding predictive architecture</x:v>
      </x:c>
      <x:c r="F137" s="85" t="str">
        <x:v>I-JEPA learns image representations by predicting target-region embeddings from visible context. It is a representation-learning precursor rather than a temporal, action-conditioned robot dynamics model.</x:v>
      </x:c>
      <x:c r="G137" s="92" t="str">
        <x:v>https://arxiv.org/abs/2301.08243</x:v>
      </x:c>
      <x:c r="H137" s="85" t="str">
        <x:v>Background</x:v>
      </x:c>
      <x:c r="I137" s="93" t="str">
        <x:v>Background</x:v>
      </x:c>
      <x:c r="J137" s="85" t="str">
        <x:v>Paper</x:v>
      </x:c>
      <x:c r="K137" s="85" t="str">
        <x:v>Image predictive representation precursor</x:v>
      </x:c>
      <x:c r="L137" s="85" t="str">
        <x:v>image self-supervision; representation precursor</x:v>
      </x:c>
      <x:c r="M137" s="85" t="str">
        <x:v>other</x:v>
      </x:c>
      <x:c r="N137" s="85" t="str">
        <x:v>Current manuscript</x:v>
      </x:c>
      <x:c r="O137" s="85" t="str">
        <x:v>arXiv:2301.08243</x:v>
      </x:c>
      <x:c r="P137" s="85" t="str">
        <x:v>Prior primary-source check retained</x:v>
      </x:c>
      <x:c r="Q137" s="85" t="str"/>
      <x:c r="R137" s="85" t="str">
        <x:v>Prior companion model catalogue and Current References primary-source link; not reopened this update</x:v>
      </x:c>
      <x:c r="S137" s="85" t="str">
        <x:v>ijepa</x:v>
      </x:c>
      <x:c r="T137" s="85" t="str">
        <x:v>manuscript.tex:601</x:v>
      </x:c>
      <x:c r="U137" s="85" t="str">
        <x:v>Image-region representation learning has no temporal robot-action transition or manipulation-control evaluation.</x:v>
      </x:c>
      <x:c r="V137" s="85" t="str">
        <x:v>Existing primary-source identity and summary retained from the previously checked companion catalogue; this update does not claim a fresh full-text audit. Individual prior-check date was not recorded.</x:v>
      </x:c>
    </x:row>
    <x:row r="138" ht="83" customHeight="1">
      <x:c r="A138" s="85" t="str">
        <x:v>R137</x:v>
      </x:c>
      <x:c r="B138" s="85" t="str">
        <x:v>World model</x:v>
      </x:c>
      <x:c r="C138" s="85" t="str">
        <x:v>MuZero</x:v>
      </x:c>
      <x:c r="D138" s="91" t="n">
        <x:v>2019</x:v>
      </x:c>
      <x:c r="E138" s="85" t="str">
        <x:v>Mastering Atari, Go, chess and shogi by planning with a learned model</x:v>
      </x:c>
      <x:c r="F138" s="85" t="str">
        <x:v>MuZero learns latent transitions that predict rewards, values, and action priors for tree search. Its cited demonstrations concern games, with planning-relevant prediction that does not require observation reconstruction.</x:v>
      </x:c>
      <x:c r="G138" s="92" t="str">
        <x:v>https://arxiv.org/abs/1911.08265</x:v>
      </x:c>
      <x:c r="H138" s="85" t="str">
        <x:v>Background</x:v>
      </x:c>
      <x:c r="I138" s="93" t="str">
        <x:v>Background</x:v>
      </x:c>
      <x:c r="J138" s="85" t="str">
        <x:v>Paper</x:v>
      </x:c>
      <x:c r="K138" s="85" t="str">
        <x:v>Latent decision model for game search</x:v>
      </x:c>
      <x:c r="L138" s="85" t="str">
        <x:v>game domain; tree search</x:v>
      </x:c>
      <x:c r="M138" s="85" t="str">
        <x:v>other</x:v>
      </x:c>
      <x:c r="N138" s="85" t="str">
        <x:v>Current manuscript</x:v>
      </x:c>
      <x:c r="O138" s="85" t="str">
        <x:v>arXiv:1911.08265</x:v>
      </x:c>
      <x:c r="P138" s="85" t="str">
        <x:v>Prior primary-source check retained</x:v>
      </x:c>
      <x:c r="Q138" s="85" t="str"/>
      <x:c r="R138" s="85" t="str">
        <x:v>Prior companion model catalogue and Current References primary-source link; not reopened this update</x:v>
      </x:c>
      <x:c r="S138" s="85" t="str">
        <x:v>muzero</x:v>
      </x:c>
      <x:c r="T138" s="85" t="str">
        <x:v>manuscript.tex:569</x:v>
      </x:c>
      <x:c r="U138" s="85" t="str">
        <x:v>Primary evidence concerns board games and Atari, without robotic manipulation evaluation.</x:v>
      </x:c>
      <x:c r="V138" s="85" t="str">
        <x:v>Existing primary-source identity and summary retained from the previously checked companion catalogue; this update does not claim a fresh full-text audit. Individual prior-check date was not recorded. Year column uses first arXiv submission (2019); supplied publication/reference year was 2020. Year differs from the manuscript citation; register uses the documented source year.</x:v>
      </x:c>
    </x:row>
    <x:row r="139" ht="61" customHeight="1">
      <x:c r="A139" s="85" t="str">
        <x:v>R138</x:v>
      </x:c>
      <x:c r="B139" s="85" t="str">
        <x:v>World model</x:v>
      </x:c>
      <x:c r="C139" s="85" t="str">
        <x:v>PhysDreamer</x:v>
      </x:c>
      <x:c r="D139" s="91" t="n">
        <x:v>2024</x:v>
      </x:c>
      <x:c r="E139" s="85" t="str">
        <x:v>PhysDreamer: Physics-based interaction with 3D objects via video generation</x:v>
      </x:c>
      <x:c r="F139" s="85" t="str">
        <x:v>PhysDreamer distills motion information from video generation into physical material estimates and interactive three-dimensional dynamics. Its object-response demonstrations provide context for physical prediction rather than direct evidence of robot task success.</x:v>
      </x:c>
      <x:c r="G139" s="92" t="str">
        <x:v>https://arxiv.org/abs/2404.13026</x:v>
      </x:c>
      <x:c r="H139" s="85" t="str">
        <x:v>Background</x:v>
      </x:c>
      <x:c r="I139" s="93" t="str">
        <x:v>Background</x:v>
      </x:c>
      <x:c r="J139" s="85" t="str">
        <x:v>Paper</x:v>
      </x:c>
      <x:c r="K139" s="85" t="str">
        <x:v>Physics-grounded generative object dynamics</x:v>
      </x:c>
      <x:c r="L139" s="85" t="str">
        <x:v>geometric context; physical material inference</x:v>
      </x:c>
      <x:c r="M139" s="85" t="str">
        <x:v>other</x:v>
      </x:c>
      <x:c r="N139" s="85" t="str">
        <x:v>Current manuscript</x:v>
      </x:c>
      <x:c r="O139" s="85" t="str">
        <x:v>arXiv:2404.13026</x:v>
      </x:c>
      <x:c r="P139" s="85" t="str">
        <x:v>Primary source checked this update</x:v>
      </x:c>
      <x:c r="Q139" s="85" t="str">
        <x:v>2026-10-01</x:v>
      </x:c>
      <x:c r="R139" s="85" t="str">
        <x:v>arXiv:2404.13026v2, abstract and submission history</x:v>
      </x:c>
      <x:c r="S139" s="85" t="str">
        <x:v>physdreamer</x:v>
      </x:c>
      <x:c r="T139" s="85" t="str">
        <x:v>manuscript.tex:610</x:v>
      </x:c>
      <x:c r="U139" s="85" t="str">
        <x:v>Demonstrates elastic-object responses and perceptual realism, without downstream robot manipulation-control evaluation.</x:v>
      </x:c>
      <x:c r="V139" s="85" t="str"/>
    </x:row>
    <x:row r="140" ht="61" customHeight="1">
      <x:c r="A140" s="85" t="str">
        <x:v>R139</x:v>
      </x:c>
      <x:c r="B140" s="85" t="str">
        <x:v>World model</x:v>
      </x:c>
      <x:c r="C140" s="85" t="str">
        <x:v>PlaNet</x:v>
      </x:c>
      <x:c r="D140" s="91" t="n">
        <x:v>2018</x:v>
      </x:c>
      <x:c r="E140" s="85" t="str">
        <x:v>Learning latent dynamics for planning from pixels</x:v>
      </x:c>
      <x:c r="F140" s="85" t="str">
        <x:v>PlaNet learns action-conditioned recurrent latent dynamics from images. It uses model-predictive control to select action sequences by evaluating imagined futures.</x:v>
      </x:c>
      <x:c r="G140" s="92" t="str">
        <x:v>https://arxiv.org/abs/1811.04551</x:v>
      </x:c>
      <x:c r="H140" s="85" t="str">
        <x:v>Background</x:v>
      </x:c>
      <x:c r="I140" s="93" t="str">
        <x:v>Background</x:v>
      </x:c>
      <x:c r="J140" s="85" t="str">
        <x:v>Paper</x:v>
      </x:c>
      <x:c r="K140" s="85" t="str">
        <x:v>Foundational latent model-predictive control</x:v>
      </x:c>
      <x:c r="L140" s="85" t="str">
        <x:v>historical context; latent planning</x:v>
      </x:c>
      <x:c r="M140" s="85" t="str">
        <x:v>general robotics</x:v>
      </x:c>
      <x:c r="N140" s="85" t="str">
        <x:v>Current manuscript</x:v>
      </x:c>
      <x:c r="O140" s="85" t="str">
        <x:v>arXiv:1811.04551</x:v>
      </x:c>
      <x:c r="P140" s="85" t="str">
        <x:v>Primary source checked this update</x:v>
      </x:c>
      <x:c r="Q140" s="85" t="str">
        <x:v>2026-10-01</x:v>
      </x:c>
      <x:c r="R140" s="85" t="str">
        <x:v>arXiv:1811.04551v5, abstract and submission history</x:v>
      </x:c>
      <x:c r="S140" s="85" t="str">
        <x:v>planet</x:v>
      </x:c>
      <x:c r="T140" s="85" t="str">
        <x:v>Table tab:wm-master; manuscript.tex:569; manuscript.tex:762; tab:wm-master</x:v>
      </x:c>
      <x:c r="U140" s="85" t="str">
        <x:v>Retained as historical pixel-based continuous-control context rather than a manipulation-focused report in the proposed core set.</x:v>
      </x:c>
      <x:c r="V140" s="85" t="str">
        <x:v> Year column uses first arXiv submission (2018); supplied publication/reference year was 2019. Year differs from the manuscript citation; register uses the documented source year.</x:v>
      </x:c>
    </x:row>
    <x:row r="141" ht="69" customHeight="1">
      <x:c r="A141" s="85" t="str">
        <x:v>R140</x:v>
      </x:c>
      <x:c r="B141" s="85" t="str">
        <x:v>World model</x:v>
      </x:c>
      <x:c r="C141" s="85" t="str">
        <x:v>Sora — 2024 report</x:v>
      </x:c>
      <x:c r="D141" s="91" t="n">
        <x:v>2024</x:v>
      </x:c>
      <x:c r="E141" s="85" t="str">
        <x:v>Video generation models as world simulators</x:v>
      </x:c>
      <x:c r="F141" s="85" t="str">
        <x:v>The Sora technical report describes text-conditioned video generation and discusses emergent simulation properties and limitations. It is general video-model context rather than a robotic manipulation experiment.</x:v>
      </x:c>
      <x:c r="G141" s="92" t="str">
        <x:v>https://openai.com/index/video-generation-models-as-world-simulators/</x:v>
      </x:c>
      <x:c r="H141" s="85" t="str">
        <x:v>Non-paper source</x:v>
      </x:c>
      <x:c r="I141" s="93" t="str">
        <x:v>Exclude</x:v>
      </x:c>
      <x:c r="J141" s="85" t="str">
        <x:v>Technical release / software</x:v>
      </x:c>
      <x:c r="K141" s="85" t="str">
        <x:v>Video generation technical report</x:v>
      </x:c>
      <x:c r="L141" s="85" t="str">
        <x:v>passive video; vendor report</x:v>
      </x:c>
      <x:c r="M141" s="85" t="str">
        <x:v>other</x:v>
      </x:c>
      <x:c r="N141" s="85" t="str">
        <x:v>Existing companion catalogue</x:v>
      </x:c>
      <x:c r="O141" s="85" t="str">
        <x:v>https://openai.com/index/video-generation-models-as-world-simulators</x:v>
      </x:c>
      <x:c r="P141" s="85" t="str">
        <x:v>Prior primary-source check retained</x:v>
      </x:c>
      <x:c r="Q141" s="85" t="str"/>
      <x:c r="R141" s="85" t="str">
        <x:v>Prior companion model catalogue and Current References primary-source link; not reopened this update</x:v>
      </x:c>
      <x:c r="S141" s="85" t="str">
        <x:v>sora2024</x:v>
      </x:c>
      <x:c r="T141" s="85" t="str"/>
      <x:c r="U141" s="85" t="str">
        <x:v>Official web technical report on general video generation; retained as context rather than a dedicated manipulation research paper.</x:v>
      </x:c>
      <x:c r="V141" s="85" t="str">
        <x:v>Already present in the companion model catalogue but not cited in the current manuscript; retained here as a separately traceable source. Existing primary-source identity and summary retained from the previously checked companion catalogue; this update does not claim a fresh full-text audit. Individual prior-check date was not recorded.</x:v>
      </x:c>
    </x:row>
    <x:row r="142" ht="61" customHeight="1">
      <x:c r="A142" s="85" t="str">
        <x:v>R141</x:v>
      </x:c>
      <x:c r="B142" s="85" t="str">
        <x:v>World model</x:v>
      </x:c>
      <x:c r="C142" s="85" t="str">
        <x:v>UnifoLM-WMA-0</x:v>
      </x:c>
      <x:c r="D142" s="91" t="n">
        <x:v>2025</x:v>
      </x:c>
      <x:c r="E142" s="85" t="str">
        <x:v>UnifoLM-WMA-0: A World-Model-Action (WMA) Framework under UnifoLM Family</x:v>
      </x:c>
      <x:c r="F142" s="85" t="str">
        <x:v>UnifoLM-WMA-0 connects video-world-model prediction with robot action generation and an interactive simulation mode. Its official repository is retained as a software release because the inspected citation identifies no dedicated research paper.</x:v>
      </x:c>
      <x:c r="G142" s="92" t="str">
        <x:v>https://github.com/unitreerobotics/unifolm-world-model-action</x:v>
      </x:c>
      <x:c r="H142" s="85" t="str">
        <x:v>Non-paper source</x:v>
      </x:c>
      <x:c r="I142" s="93" t="str">
        <x:v>Exclude</x:v>
      </x:c>
      <x:c r="J142" s="85" t="str">
        <x:v>Technical release / software</x:v>
      </x:c>
      <x:c r="K142" s="85" t="str">
        <x:v>World-model/action software release</x:v>
      </x:c>
      <x:c r="L142" s="85" t="str">
        <x:v>WAM; learned simulation; vendor release</x:v>
      </x:c>
      <x:c r="M142" s="85" t="str">
        <x:v>manipulation</x:v>
      </x:c>
      <x:c r="N142" s="85" t="str">
        <x:v>Current manuscript</x:v>
      </x:c>
      <x:c r="O142" s="85" t="str">
        <x:v>https://github.com/unitreerobotics/unifolm-world-model-action</x:v>
      </x:c>
      <x:c r="P142" s="85" t="str">
        <x:v>Primary source checked this update</x:v>
      </x:c>
      <x:c r="Q142" s="85" t="str">
        <x:v>2026-10-01</x:v>
      </x:c>
      <x:c r="R142" s="85" t="str">
        <x:v>Official GitHub README, framework description, News and Citation; no dedicated paper linked in inspected source</x:v>
      </x:c>
      <x:c r="S142" s="85" t="str">
        <x:v>unifolm</x:v>
      </x:c>
      <x:c r="T142" s="85" t="str">
        <x:v>Table tab:wm-master; manuscript.tex:781; tab:wm-master</x:v>
      </x:c>
      <x:c r="U142" s="85" t="str">
        <x:v>Official repository describes manipulation simulation and policy modes, but identifies no dedicated research paper.</x:v>
      </x:c>
      <x:c r="V142" s="85" t="str"/>
    </x:row>
    <x:row r="143" ht="61" customHeight="1">
      <x:c r="A143" s="85" t="str">
        <x:v>R142</x:v>
      </x:c>
      <x:c r="B143" s="85" t="str">
        <x:v>World model</x:v>
      </x:c>
      <x:c r="C143" s="85" t="str">
        <x:v>V-JEPA — representation precursor</x:v>
      </x:c>
      <x:c r="D143" s="91" t="n">
        <x:v>2024</x:v>
      </x:c>
      <x:c r="E143" s="85" t="str">
        <x:v>Revisiting feature prediction for learning visual representations from video</x:v>
      </x:c>
      <x:c r="F143" s="85" t="str">
        <x:v>V-JEPA learns video representations by predicting masked spatiotemporal features. Its action-free pretraining provides predictive representations without directly defining a robot-action-conditioned forward model.</x:v>
      </x:c>
      <x:c r="G143" s="92" t="str">
        <x:v>https://arxiv.org/abs/2404.08471</x:v>
      </x:c>
      <x:c r="H143" s="85" t="str">
        <x:v>Background</x:v>
      </x:c>
      <x:c r="I143" s="93" t="str">
        <x:v>Background</x:v>
      </x:c>
      <x:c r="J143" s="85" t="str">
        <x:v>Paper</x:v>
      </x:c>
      <x:c r="K143" s="85" t="str">
        <x:v>Passive video predictive representation precursor</x:v>
      </x:c>
      <x:c r="L143" s="85" t="str">
        <x:v>representation precursor; video self-supervision</x:v>
      </x:c>
      <x:c r="M143" s="85" t="str">
        <x:v>other</x:v>
      </x:c>
      <x:c r="N143" s="85" t="str">
        <x:v>Current manuscript</x:v>
      </x:c>
      <x:c r="O143" s="85" t="str">
        <x:v>arXiv:2404.08471</x:v>
      </x:c>
      <x:c r="P143" s="85" t="str">
        <x:v>Prior primary-source check retained</x:v>
      </x:c>
      <x:c r="Q143" s="85" t="str"/>
      <x:c r="R143" s="85" t="str">
        <x:v>Prior companion model catalogue and Current References primary-source link; not reopened this update</x:v>
      </x:c>
      <x:c r="S143" s="85" t="str">
        <x:v>vjepa</x:v>
      </x:c>
      <x:c r="T143" s="85" t="str">
        <x:v>manuscript.tex:601</x:v>
      </x:c>
      <x:c r="U143" s="85" t="str">
        <x:v>Video representation learning does not provide the robot-action-conditioned planning adaptation evaluated in the later V-JEPA 2 paper.</x:v>
      </x:c>
      <x:c r="V143" s="85" t="str">
        <x:v>Existing primary-source identity and summary retained from the previously checked companion catalogue; this update does not claim a fresh full-text audit. Individual prior-check date was not recorded.</x:v>
      </x:c>
    </x:row>
    <x:row r="144" ht="61" customHeight="1">
      <x:c r="A144" s="85" t="str">
        <x:v>R143</x:v>
      </x:c>
      <x:c r="B144" s="85" t="str">
        <x:v>World model</x:v>
      </x:c>
      <x:c r="C144" s="85" t="str">
        <x:v>World Models</x:v>
      </x:c>
      <x:c r="D144" s="91" t="n">
        <x:v>2018</x:v>
      </x:c>
      <x:c r="E144" s="85" t="str">
        <x:v>World models</x:v>
      </x:c>
      <x:c r="F144" s="85" t="str">
        <x:v>World Models combines a variational image encoder, recurrent latent dynamics, and a compact controller. It demonstrates learning behavior within a learned environment in simulated control tasks.</x:v>
      </x:c>
      <x:c r="G144" s="92" t="str">
        <x:v>https://arxiv.org/abs/1803.10122</x:v>
      </x:c>
      <x:c r="H144" s="85" t="str">
        <x:v>Background</x:v>
      </x:c>
      <x:c r="I144" s="93" t="str">
        <x:v>Background</x:v>
      </x:c>
      <x:c r="J144" s="85" t="str">
        <x:v>Paper</x:v>
      </x:c>
      <x:c r="K144" s="85" t="str">
        <x:v>Foundational latent world model</x:v>
      </x:c>
      <x:c r="L144" s="85" t="str">
        <x:v>game domain; historical context</x:v>
      </x:c>
      <x:c r="M144" s="85" t="str">
        <x:v>other</x:v>
      </x:c>
      <x:c r="N144" s="85" t="str">
        <x:v>Current manuscript</x:v>
      </x:c>
      <x:c r="O144" s="85" t="str">
        <x:v>arXiv:1803.10122</x:v>
      </x:c>
      <x:c r="P144" s="85" t="str">
        <x:v>Prior primary-source check retained</x:v>
      </x:c>
      <x:c r="Q144" s="85" t="str"/>
      <x:c r="R144" s="85" t="str">
        <x:v>Prior companion model catalogue and Current References primary-source link; not reopened this update</x:v>
      </x:c>
      <x:c r="S144" s="85" t="str">
        <x:v>worldmodels2018</x:v>
      </x:c>
      <x:c r="T144" s="85" t="str">
        <x:v>Table tab:wm-master; manuscript.tex:569; manuscript.tex:761; tab:wm-master</x:v>
      </x:c>
      <x:c r="U144" s="85" t="str">
        <x:v>CarRacing and Doom establish historical learning-in-imagination context rather than manipulation evidence.</x:v>
      </x:c>
      <x:c r="V144" s="85" t="str">
        <x:v>Existing primary-source identity and summary retained from the previously checked companion catalogue; this update does not claim a fresh full-text audit. Individual prior-check date was not recorded.</x:v>
      </x:c>
    </x:row>
    <x:row r="145" ht="83" customHeight="1">
      <x:c r="A145" s="85" t="str">
        <x:v>R144</x:v>
      </x:c>
      <x:c r="B145" s="85" t="str">
        <x:v>Dataset / benchmark</x:v>
      </x:c>
      <x:c r="C145" s="85" t="str">
        <x:v>AgiBot World Colosseo</x:v>
      </x:c>
      <x:c r="D145" s="91" t="n">
        <x:v>2025</x:v>
      </x:c>
      <x:c r="E145" s="85" t="str">
        <x:v>AgiBot World Colosseo: A large-scale manipulation platform for scalable and intelligent embodied systems</x:v>
      </x:c>
      <x:c r="F145" s="85" t="str">
        <x:v>AgiBot World combines a standardized robot-data collection platform with diverse manipulation trajectories. Its accompanying policy experiments study how data scale and coverage affect generalist robot learning.</x:v>
      </x:c>
      <x:c r="G145" s="92" t="str">
        <x:v>https://arxiv.org/abs/2503.06669</x:v>
      </x:c>
      <x:c r="H145" s="85" t="str">
        <x:v>Proposed include</x:v>
      </x:c>
      <x:c r="I145" s="93" t="str">
        <x:v>Include</x:v>
      </x:c>
      <x:c r="J145" s="85" t="str">
        <x:v>Paper</x:v>
      </x:c>
      <x:c r="K145" s="85" t="str">
        <x:v>Real-world manipulation dataset and platform</x:v>
      </x:c>
      <x:c r="L145" s="85" t="str">
        <x:v>GO-1; VLA; real robot</x:v>
      </x:c>
      <x:c r="M145" s="85" t="str">
        <x:v>manipulation</x:v>
      </x:c>
      <x:c r="N145" s="85" t="str">
        <x:v>Current manuscript</x:v>
      </x:c>
      <x:c r="O145" s="85" t="str">
        <x:v>arXiv:2503.06669</x:v>
      </x:c>
      <x:c r="P145" s="85" t="str">
        <x:v>Primary source checked this update</x:v>
      </x:c>
      <x:c r="Q145" s="85" t="str">
        <x:v>2026-10-01</x:v>
      </x:c>
      <x:c r="R145" s="85" t="str">
        <x:v>Primary arXiv abstract, title, and submission history</x:v>
      </x:c>
      <x:c r="S145" s="85" t="str">
        <x:v>agibotworld</x:v>
      </x:c>
      <x:c r="T145" s="85" t="str">
        <x:v>manuscript.tex:1267 (tab:datasets); manuscript.tex:809 (Benchmark Scope); manuscript.tex:898 (tab:benchmarks); tab:benchmarks; tab:datasets</x:v>
      </x:c>
      <x:c r="U145" s="85" t="str">
        <x:v>Primary paper describes a manipulation dataset, benchmark, evaluation framework, or reusable data-generation resource within the review scope; proposed inclusion requires author adjudication.</x:v>
      </x:c>
      <x:c r="V145" s="85" t="str">
        <x:v>AgiBot World dataset and Genie Operator-1 (GO-1) share one primary paper; do not count GO-1 again as a separate report.</x:v>
      </x:c>
    </x:row>
    <x:row r="146" ht="61" customHeight="1">
      <x:c r="A146" s="85" t="str">
        <x:v>R145</x:v>
      </x:c>
      <x:c r="B146" s="85" t="str">
        <x:v>Dataset / benchmark</x:v>
      </x:c>
      <x:c r="C146" s="85" t="str">
        <x:v>BEHAVIOR-1K</x:v>
      </x:c>
      <x:c r="D146" s="91" t="n">
        <x:v>2024</x:v>
      </x:c>
      <x:c r="E146" s="85" t="str">
        <x:v>BEHAVIOR-1K: A human-centered, embodied AI benchmark with 1,000 everyday activities and realistic simulation</x:v>
      </x:c>
      <x:c r="F146" s="85" t="str">
        <x:v>BEHAVIOR-1K defines everyday household activities and supports them through the OmniGibson simulation environment. Its evaluation emphasizes long-horizon behavior and complex interaction with diverse objects and physical materials.</x:v>
      </x:c>
      <x:c r="G146" s="92" t="str">
        <x:v>https://arxiv.org/abs/2403.09227</x:v>
      </x:c>
      <x:c r="H146" s="85" t="str">
        <x:v>Proposed include</x:v>
      </x:c>
      <x:c r="I146" s="93" t="str">
        <x:v>Include</x:v>
      </x:c>
      <x:c r="J146" s="85" t="str">
        <x:v>Paper</x:v>
      </x:c>
      <x:c r="K146" s="85" t="str">
        <x:v>Household activity simulation benchmark</x:v>
      </x:c>
      <x:c r="L146" s="85" t="str">
        <x:v>mobile manipulation; simulation</x:v>
      </x:c>
      <x:c r="M146" s="85" t="str">
        <x:v>general robotics</x:v>
      </x:c>
      <x:c r="N146" s="85" t="str">
        <x:v>Current manuscript</x:v>
      </x:c>
      <x:c r="O146" s="85" t="str">
        <x:v>arXiv:2403.09227</x:v>
      </x:c>
      <x:c r="P146" s="85" t="str">
        <x:v>Primary source checked this update</x:v>
      </x:c>
      <x:c r="Q146" s="85" t="str">
        <x:v>2026-10-01</x:v>
      </x:c>
      <x:c r="R146" s="85" t="str">
        <x:v>Primary arXiv abstract, title, and submission history</x:v>
      </x:c>
      <x:c r="S146" s="85" t="str">
        <x:v>behavior1k</x:v>
      </x:c>
      <x:c r="T146" s="85" t="str">
        <x:v>manuscript.tex:809 (Benchmark Scope)</x:v>
      </x:c>
      <x:c r="U146" s="85" t="str">
        <x:v>Primary paper describes a manipulation dataset, benchmark, evaluation framework, or reusable data-generation resource within the review scope; proposed inclusion requires author adjudication.</x:v>
      </x:c>
      <x:c r="V146" s="85" t="str">
        <x:v>The 2024 report identifies a preliminary CoRL2022 version; consolidate versions as one report.</x:v>
      </x:c>
    </x:row>
    <x:row r="147" ht="83" customHeight="1">
      <x:c r="A147" s="85" t="str">
        <x:v>R146</x:v>
      </x:c>
      <x:c r="B147" s="85" t="str">
        <x:v>Dataset / benchmark</x:v>
      </x:c>
      <x:c r="C147" s="85" t="str">
        <x:v>BridgeData V2</x:v>
      </x:c>
      <x:c r="D147" s="91" t="n">
        <x:v>2023</x:v>
      </x:c>
      <x:c r="E147" s="85" t="str">
        <x:v>BridgeData V2: A dataset for robot learning at scale</x:v>
      </x:c>
      <x:c r="F147" s="85" t="str">
        <x:v>BridgeData V2 provides diverse real-robot manipulation trajectories for scalable robot learning. It supports studying how training across tasks and environments affects policy generalization.</x:v>
      </x:c>
      <x:c r="G147" s="92" t="str">
        <x:v>https://arxiv.org/abs/2308.12952</x:v>
      </x:c>
      <x:c r="H147" s="85" t="str">
        <x:v>Proposed include</x:v>
      </x:c>
      <x:c r="I147" s="93" t="str">
        <x:v>Include</x:v>
      </x:c>
      <x:c r="J147" s="85" t="str">
        <x:v>Paper</x:v>
      </x:c>
      <x:c r="K147" s="85" t="str">
        <x:v>Real-world manipulation dataset</x:v>
      </x:c>
      <x:c r="L147" s="85" t="str">
        <x:v>demonstrations; real robot</x:v>
      </x:c>
      <x:c r="M147" s="85" t="str">
        <x:v>manipulation</x:v>
      </x:c>
      <x:c r="N147" s="85" t="str">
        <x:v>Current manuscript</x:v>
      </x:c>
      <x:c r="O147" s="85" t="str">
        <x:v>arXiv:2308.12952</x:v>
      </x:c>
      <x:c r="P147" s="85" t="str">
        <x:v>Primary source checked this update</x:v>
      </x:c>
      <x:c r="Q147" s="85" t="str">
        <x:v>2026-10-01</x:v>
      </x:c>
      <x:c r="R147" s="85" t="str">
        <x:v>Primary arXiv abstract, title, and submission history</x:v>
      </x:c>
      <x:c r="S147" s="85" t="str">
        <x:v>bridgedata</x:v>
      </x:c>
      <x:c r="T147" s="85" t="str">
        <x:v>manuscript.tex:1266 (tab:datasets); manuscript.tex:809 (Benchmark Scope); manuscript.tex:898 (tab:benchmarks); tab:benchmarks; tab:datasets</x:v>
      </x:c>
      <x:c r="U147" s="85" t="str">
        <x:v>Primary paper describes a manipulation dataset, benchmark, evaluation framework, or reusable data-generation resource within the review scope; proposed inclusion requires author adjudication.</x:v>
      </x:c>
      <x:c r="V147" s="85" t="str"/>
    </x:row>
    <x:row r="148" ht="61" customHeight="1">
      <x:c r="A148" s="85" t="str">
        <x:v>R147</x:v>
      </x:c>
      <x:c r="B148" s="85" t="str">
        <x:v>Dataset / benchmark</x:v>
      </x:c>
      <x:c r="C148" s="85" t="str">
        <x:v>CALVIN</x:v>
      </x:c>
      <x:c r="D148" s="91" t="n">
        <x:v>2021</x:v>
      </x:c>
      <x:c r="E148" s="85" t="str">
        <x:v>CALVIN: A benchmark for language-conditioned policy learning for long-horizon robot manipulation tasks</x:v>
      </x:c>
      <x:c r="F148" s="85" t="str">
        <x:v>CALVIN evaluates language-conditioned policies on sequences of manipulation tasks in simulation. It emphasizes long-horizon execution and transfer to unfamiliar instructions, objects, and environments.</x:v>
      </x:c>
      <x:c r="G148" s="92" t="str">
        <x:v>https://arxiv.org/abs/2112.03227</x:v>
      </x:c>
      <x:c r="H148" s="85" t="str">
        <x:v>Proposed include</x:v>
      </x:c>
      <x:c r="I148" s="93" t="str">
        <x:v>Include</x:v>
      </x:c>
      <x:c r="J148" s="85" t="str">
        <x:v>Paper</x:v>
      </x:c>
      <x:c r="K148" s="85" t="str">
        <x:v>Long-horizon language-conditioned benchmark</x:v>
      </x:c>
      <x:c r="L148" s="85" t="str">
        <x:v>VLA evaluation; simulation</x:v>
      </x:c>
      <x:c r="M148" s="85" t="str">
        <x:v>manipulation</x:v>
      </x:c>
      <x:c r="N148" s="85" t="str">
        <x:v>Current manuscript</x:v>
      </x:c>
      <x:c r="O148" s="85" t="str">
        <x:v>arXiv:2112.03227</x:v>
      </x:c>
      <x:c r="P148" s="85" t="str">
        <x:v>Primary source checked this update</x:v>
      </x:c>
      <x:c r="Q148" s="85" t="str">
        <x:v>2026-10-01</x:v>
      </x:c>
      <x:c r="R148" s="85" t="str">
        <x:v>Primary arXiv abstract, title, and submission history</x:v>
      </x:c>
      <x:c r="S148" s="85" t="str">
        <x:v>calvin</x:v>
      </x:c>
      <x:c r="T148" s="85" t="str">
        <x:v>manuscript.tex:807 (Benchmark Scope); manuscript.tex:874 (tab:benchmarks); tab:benchmarks</x:v>
      </x:c>
      <x:c r="U148" s="85" t="str">
        <x:v>Primary paper describes a manipulation dataset, benchmark, evaluation framework, or reusable data-generation resource within the review scope; proposed inclusion requires author adjudication.</x:v>
      </x:c>
      <x:c r="V148" s="85" t="str">
        <x:v>Year field records first arXiv release (2021); current manuscript cites 2022. These are versions of one report, not separate included papers. Year differs from the manuscript citation; register uses the documented source year.</x:v>
      </x:c>
    </x:row>
    <x:row r="149" ht="61" customHeight="1">
      <x:c r="A149" s="85" t="str">
        <x:v>R148</x:v>
      </x:c>
      <x:c r="B149" s="85" t="str">
        <x:v>Dataset / benchmark</x:v>
      </x:c>
      <x:c r="C149" s="85" t="str">
        <x:v>Colosseum V2</x:v>
      </x:c>
      <x:c r="D149" s="91" t="n">
        <x:v>2026</x:v>
      </x:c>
      <x:c r="E149" s="85" t="str">
        <x:v>Colosseum V2: Benchmarking Generalization for Vision-Language-Action Models</x:v>
      </x:c>
      <x:c r="F149" s="85" t="str">
        <x:v>Colosseum V2 evaluates manipulation policies under in-domain and shifted conditions across tasks and robot morphologies. It uses GPU-parallel simulation and paired physical checks to study how simulated generalization relates to real-world behavior.</x:v>
      </x:c>
      <x:c r="G149" s="92" t="str">
        <x:v>https://arxiv.org/abs/2605.27759</x:v>
      </x:c>
      <x:c r="H149" s="85" t="str">
        <x:v>Proposed include</x:v>
      </x:c>
      <x:c r="I149" s="93" t="str">
        <x:v>Include</x:v>
      </x:c>
      <x:c r="J149" s="85" t="str">
        <x:v>Paper</x:v>
      </x:c>
      <x:c r="K149" s="85" t="str">
        <x:v>VLA generalization benchmark</x:v>
      </x:c>
      <x:c r="L149" s="85" t="str">
        <x:v>VLA evaluation; robustness; simulation</x:v>
      </x:c>
      <x:c r="M149" s="85" t="str">
        <x:v>manipulation</x:v>
      </x:c>
      <x:c r="N149" s="85" t="str">
        <x:v>Additional search</x:v>
      </x:c>
      <x:c r="O149" s="85" t="str">
        <x:v>arXiv:2605.27759</x:v>
      </x:c>
      <x:c r="P149" s="85" t="str">
        <x:v>Primary source checked this update</x:v>
      </x:c>
      <x:c r="Q149" s="85" t="str">
        <x:v>2026-10-01</x:v>
      </x:c>
      <x:c r="R149" s="85" t="str">
        <x:v>Primary arXiv abstract, title, and submission history</x:v>
      </x:c>
      <x:c r="S149" s="85" t="str">
        <x:v>colosseumv2</x:v>
      </x:c>
      <x:c r="T149" s="85" t="str"/>
      <x:c r="U149" s="85" t="str">
        <x:v>Primary paper describes a manipulation dataset, benchmark, evaluation framework, or reusable data-generation resource within the review scope; proposed inclusion requires author adjudication.</x:v>
      </x:c>
      <x:c r="V149" s="85" t="str">
        <x:v>Distinct2026report from THECOLOSSEUM2024. Checkedv4(2026-09-29) is within supplementary cutoff2026-10-01 but after original August search; track as supplementary-search addition.</x:v>
      </x:c>
    </x:row>
    <x:row r="150" ht="83" customHeight="1">
      <x:c r="A150" s="85" t="str">
        <x:v>R149</x:v>
      </x:c>
      <x:c r="B150" s="85" t="str">
        <x:v>Dataset / benchmark</x:v>
      </x:c>
      <x:c r="C150" s="85" t="str">
        <x:v>DexMimicGen</x:v>
      </x:c>
      <x:c r="D150" s="91" t="n">
        <x:v>2024</x:v>
      </x:c>
      <x:c r="E150" s="85" t="str">
        <x:v>DexMimicGen: Automated data generation for bimanual dexterous manipulation via imitation learning</x:v>
      </x:c>
      <x:c r="F150" s="85" t="str">
        <x:v>DexMimicGen extends demonstration-based data generation to bimanual dexterous manipulation in simulation. It handles coordination between manipulators when synthesizing trajectories for imitation learning.</x:v>
      </x:c>
      <x:c r="G150" s="92" t="str">
        <x:v>https://arxiv.org/abs/2410.24185</x:v>
      </x:c>
      <x:c r="H150" s="85" t="str">
        <x:v>Proposed include</x:v>
      </x:c>
      <x:c r="I150" s="93" t="str">
        <x:v>Include</x:v>
      </x:c>
      <x:c r="J150" s="85" t="str">
        <x:v>Paper</x:v>
      </x:c>
      <x:c r="K150" s="85" t="str">
        <x:v>Synthetic demonstration generation</x:v>
      </x:c>
      <x:c r="L150" s="85" t="str">
        <x:v>bimanual; dataset generation; dexterous manipulation</x:v>
      </x:c>
      <x:c r="M150" s="85" t="str">
        <x:v>manipulation</x:v>
      </x:c>
      <x:c r="N150" s="85" t="str">
        <x:v>Current manuscript</x:v>
      </x:c>
      <x:c r="O150" s="85" t="str">
        <x:v>arXiv:2410.24185</x:v>
      </x:c>
      <x:c r="P150" s="85" t="str">
        <x:v>Primary source checked this update</x:v>
      </x:c>
      <x:c r="Q150" s="85" t="str">
        <x:v>2026-10-01</x:v>
      </x:c>
      <x:c r="R150" s="85" t="str">
        <x:v>Primary arXiv abstract, title, and submission history</x:v>
      </x:c>
      <x:c r="S150" s="85" t="str">
        <x:v>dexmimicgen</x:v>
      </x:c>
      <x:c r="T150" s="85" t="str">
        <x:v>manuscript.tex:619 (WM5: Learned Environments)</x:v>
      </x:c>
      <x:c r="U150" s="85" t="str">
        <x:v>Primary paper describes a manipulation dataset, benchmark, evaluation framework, or reusable data-generation resource within the review scope; proposed inclusion requires author adjudication.</x:v>
      </x:c>
      <x:c r="V150" s="85" t="str">
        <x:v>Reusable generated demonstrations and simulation tasks; not a learned world model. Proposed include as a data resource, with author adjudication of whether data-generation methods belong in the corpus. Year field records first arXiv release (2024); current manuscript cites 2025. These are versions of one report, not separate included papers. Year differs from the manuscript citation; register uses the documented source year.</x:v>
      </x:c>
    </x:row>
    <x:row r="151" ht="111" customHeight="1">
      <x:c r="A151" s="85" t="str">
        <x:v>R150</x:v>
      </x:c>
      <x:c r="B151" s="85" t="str">
        <x:v>Dataset / benchmark</x:v>
      </x:c>
      <x:c r="C151" s="85" t="str">
        <x:v>DROID</x:v>
      </x:c>
      <x:c r="D151" s="91" t="n">
        <x:v>2024</x:v>
      </x:c>
      <x:c r="E151" s="85" t="str">
        <x:v>DROID: A large-scale in-the-wild robot manipulation dataset</x:v>
      </x:c>
      <x:c r="F151" s="85" t="str">
        <x:v>DROID provides diverse real-world robot manipulation demonstrations collected across environments. It supports research on policy learning and generalization from robot observations and actions.</x:v>
      </x:c>
      <x:c r="G151" s="92" t="str">
        <x:v>https://arxiv.org/abs/2403.12945</x:v>
      </x:c>
      <x:c r="H151" s="85" t="str">
        <x:v>Proposed include</x:v>
      </x:c>
      <x:c r="I151" s="93" t="str">
        <x:v>Include</x:v>
      </x:c>
      <x:c r="J151" s="85" t="str">
        <x:v>Paper</x:v>
      </x:c>
      <x:c r="K151" s="85" t="str">
        <x:v>Real-world manipulation dataset</x:v>
      </x:c>
      <x:c r="L151" s="85" t="str">
        <x:v>demonstrations; real robot</x:v>
      </x:c>
      <x:c r="M151" s="85" t="str">
        <x:v>manipulation</x:v>
      </x:c>
      <x:c r="N151" s="85" t="str">
        <x:v>Current manuscript</x:v>
      </x:c>
      <x:c r="O151" s="85" t="str">
        <x:v>arXiv:2403.12945</x:v>
      </x:c>
      <x:c r="P151" s="85" t="str">
        <x:v>Primary source checked this update</x:v>
      </x:c>
      <x:c r="Q151" s="85" t="str">
        <x:v>2026-10-01</x:v>
      </x:c>
      <x:c r="R151" s="85" t="str">
        <x:v>Primary arXiv abstract, title, and submission history</x:v>
      </x:c>
      <x:c r="S151" s="85" t="str">
        <x:v>droid</x:v>
      </x:c>
      <x:c r="T151" s="85" t="str">
        <x:v>manuscript.tex:1265 (tab:datasets); manuscript.tex:480 (L3: Data Requirements); manuscript.tex:487 (L3: Data Requirements); manuscript.tex:809 (Benchmark Scope); manuscript.tex:898 (tab:benchmarks); tab:benchmarks; tab:datasets</x:v>
      </x:c>
      <x:c r="U151" s="85" t="str">
        <x:v>Primary paper describes a manipulation dataset, benchmark, evaluation framework, or reusable data-generation resource within the review scope; proposed inclusion requires author adjudication.</x:v>
      </x:c>
      <x:c r="V151" s="85" t="str"/>
    </x:row>
    <x:row r="152" ht="125" customHeight="1">
      <x:c r="A152" s="85" t="str">
        <x:v>R151</x:v>
      </x:c>
      <x:c r="B152" s="85" t="str">
        <x:v>Dataset / benchmark</x:v>
      </x:c>
      <x:c r="C152" s="85" t="str">
        <x:v>EWMBench</x:v>
      </x:c>
      <x:c r="D152" s="91" t="n">
        <x:v>2025</x:v>
      </x:c>
      <x:c r="E152" s="85" t="str">
        <x:v>EWMBench: Evaluating Scene, Motion, and Semantic Quality in Embodied World Models</x:v>
      </x:c>
      <x:c r="F152" s="85" t="str">
        <x:v>EWMBench evaluates generated robot-manipulation videos for scene consistency, motion correctness, and semantic alignment. It curates manipulation tasks from AgiBot World and provides trajectory-sensitive metrics, but does not by itself establish closed-loop control performance.</x:v>
      </x:c>
      <x:c r="G152" s="92" t="str">
        <x:v>https://arxiv.org/abs/2505.09694</x:v>
      </x:c>
      <x:c r="H152" s="85" t="str">
        <x:v>Proposed include</x:v>
      </x:c>
      <x:c r="I152" s="93" t="str">
        <x:v>Include</x:v>
      </x:c>
      <x:c r="J152" s="85" t="str">
        <x:v>Paper</x:v>
      </x:c>
      <x:c r="K152" s="85" t="str">
        <x:v>Manipulation-video world-model benchmark</x:v>
      </x:c>
      <x:c r="L152" s="85" t="str">
        <x:v>manipulation video; world-model evaluation</x:v>
      </x:c>
      <x:c r="M152" s="85" t="str">
        <x:v>manipulation</x:v>
      </x:c>
      <x:c r="N152" s="85" t="str">
        <x:v>Table citation correction</x:v>
      </x:c>
      <x:c r="O152" s="85" t="str">
        <x:v>arXiv:2505.09694</x:v>
      </x:c>
      <x:c r="P152" s="85" t="str">
        <x:v>Primary source checked this update</x:v>
      </x:c>
      <x:c r="Q152" s="85" t="str">
        <x:v>2026-10-01</x:v>
      </x:c>
      <x:c r="R152" s="85" t="str">
        <x:v>arXiv title/abstract; HTML v2 Sections 3.1-3.3, Appendix A.2, and Limitations</x:v>
      </x:c>
      <x:c r="S152" s="85" t="str">
        <x:v>ewmbench</x:v>
      </x:c>
      <x:c r="T152" s="85" t="str">
        <x:v>manuscript.tex:1129 (D2; EWMBench discussion incorrectly cites genieenvisioner); manuscript.tex:811 (Evaluation; EWMBench discussion incorrectly cites genieenvisioner); manuscript.tex:916 (tab:benchmarks; EWMBench row incorrectly cites genieenvisioner)</x:v>
      </x:c>
      <x:c r="U152" s="85" t="str">
        <x:v>Primary paper describes a manipulation dataset, benchmark, evaluation framework, or reusable data-generation resource within the review scope; proposed inclusion requires author adjudication.</x:v>
      </x:c>
      <x:c r="V152" s="85" t="str">
        <x:v>Restored citation candidate: manuscript benchmark table and D2 mention EWMBench but cite genieenvisioner, a different paper (arXiv:2508.05635). The current bibliography and citation register omit the standalone EWMBench report; no manuscript was edited.</x:v>
      </x:c>
    </x:row>
    <x:row r="153" ht="61" customHeight="1">
      <x:c r="A153" s="85" t="str">
        <x:v>R152</x:v>
      </x:c>
      <x:c r="B153" s="85" t="str">
        <x:v>Dataset / benchmark</x:v>
      </x:c>
      <x:c r="C153" s="85" t="str">
        <x:v>FurnitureBench</x:v>
      </x:c>
      <x:c r="D153" s="91" t="n">
        <x:v>2023</x:v>
      </x:c>
      <x:c r="E153" s="85" t="str">
        <x:v>FurnitureBench: Reproducible real-world benchmark for long-horizon complex manipulation</x:v>
      </x:c>
      <x:c r="F153" s="85" t="str">
        <x:v>FurnitureBench provides a reproducible physical benchmark for long-horizon furniture assembly. It includes demonstration data, standardized setup resources, and a corresponding simulator for studying manipulation learning.</x:v>
      </x:c>
      <x:c r="G153" s="92" t="str">
        <x:v>https://arxiv.org/abs/2305.12821</x:v>
      </x:c>
      <x:c r="H153" s="85" t="str">
        <x:v>Proposed include</x:v>
      </x:c>
      <x:c r="I153" s="93" t="str">
        <x:v>Include</x:v>
      </x:c>
      <x:c r="J153" s="85" t="str">
        <x:v>Paper</x:v>
      </x:c>
      <x:c r="K153" s="85" t="str">
        <x:v>Real-world assembly benchmark</x:v>
      </x:c>
      <x:c r="L153" s="85" t="str">
        <x:v>assembly; long horizon; real robot</x:v>
      </x:c>
      <x:c r="M153" s="85" t="str">
        <x:v>manipulation</x:v>
      </x:c>
      <x:c r="N153" s="85" t="str">
        <x:v>Current manuscript</x:v>
      </x:c>
      <x:c r="O153" s="85" t="str">
        <x:v>arXiv:2305.12821</x:v>
      </x:c>
      <x:c r="P153" s="85" t="str">
        <x:v>Primary source checked this update</x:v>
      </x:c>
      <x:c r="Q153" s="85" t="str">
        <x:v>2026-10-01</x:v>
      </x:c>
      <x:c r="R153" s="85" t="str">
        <x:v>Primary arXiv abstract, title, and submission history</x:v>
      </x:c>
      <x:c r="S153" s="85" t="str">
        <x:v>furniturebench</x:v>
      </x:c>
      <x:c r="T153" s="85" t="str">
        <x:v>manuscript.tex:809 (Benchmark Scope)</x:v>
      </x:c>
      <x:c r="U153" s="85" t="str">
        <x:v>Primary paper describes a manipulation dataset, benchmark, evaluation framework, or reusable data-generation resource within the review scope; proposed inclusion requires author adjudication.</x:v>
      </x:c>
      <x:c r="V153" s="85" t="str"/>
    </x:row>
    <x:row r="154" ht="61" customHeight="1">
      <x:c r="A154" s="85" t="str">
        <x:v>R153</x:v>
      </x:c>
      <x:c r="B154" s="85" t="str">
        <x:v>Dataset / benchmark</x:v>
      </x:c>
      <x:c r="C154" s="85" t="str">
        <x:v>GemBench / 3D-LOTUS</x:v>
      </x:c>
      <x:c r="D154" s="91" t="n">
        <x:v>2024</x:v>
      </x:c>
      <x:c r="E154" s="85" t="str">
        <x:v>Towards Generalizable Vision-Language Robotic Manipulation: A Benchmark and LLM-guided 3D Policy</x:v>
      </x:c>
      <x:c r="F154" s="85" t="str">
        <x:v>GemBench tests language-conditioned manipulation generalization across novel placements, objects, and longer task compositions. The same paper supplies 3D-LOTUS and a hierarchical 3D-LOTUS++ policy as baselines, so the benchmark and policies form one report.</x:v>
      </x:c>
      <x:c r="G154" s="92" t="str">
        <x:v>https://arxiv.org/abs/2410.01345</x:v>
      </x:c>
      <x:c r="H154" s="85" t="str">
        <x:v>Proposed include</x:v>
      </x:c>
      <x:c r="I154" s="93" t="str">
        <x:v>Include</x:v>
      </x:c>
      <x:c r="J154" s="85" t="str">
        <x:v>Paper</x:v>
      </x:c>
      <x:c r="K154" s="85" t="str">
        <x:v>Generalization benchmark with baseline policies</x:v>
      </x:c>
      <x:c r="L154" s="85" t="str">
        <x:v>3D policy; VLA evaluation; language conditioned</x:v>
      </x:c>
      <x:c r="M154" s="85" t="str">
        <x:v>manipulation</x:v>
      </x:c>
      <x:c r="N154" s="85" t="str">
        <x:v>Additional search</x:v>
      </x:c>
      <x:c r="O154" s="85" t="str">
        <x:v>arXiv:2410.01345</x:v>
      </x:c>
      <x:c r="P154" s="85" t="str">
        <x:v>Primary source checked this update</x:v>
      </x:c>
      <x:c r="Q154" s="85" t="str">
        <x:v>2026-10-01</x:v>
      </x:c>
      <x:c r="R154" s="85" t="str">
        <x:v>Primary arXiv abstract, title, and submission history</x:v>
      </x:c>
      <x:c r="S154" s="85" t="str">
        <x:v>gembench</x:v>
      </x:c>
      <x:c r="T154" s="85" t="str"/>
      <x:c r="U154" s="85" t="str">
        <x:v>Primary paper describes a manipulation dataset, benchmark, evaluation framework, or reusable data-generation resource within the review scope; proposed inclusion requires author adjudication.</x:v>
      </x:c>
      <x:c r="V154" s="85" t="str">
        <x:v>ICRA2025 paper; use one report across dataset/benchmark and policy categories, with Dataset/benchmark primary in this proposed register.</x:v>
      </x:c>
    </x:row>
    <x:row r="155" ht="61" customHeight="1">
      <x:c r="A155" s="85" t="str">
        <x:v>R154</x:v>
      </x:c>
      <x:c r="B155" s="85" t="str">
        <x:v>Dataset / benchmark</x:v>
      </x:c>
      <x:c r="C155" s="85" t="str">
        <x:v>LIBERO</x:v>
      </x:c>
      <x:c r="D155" s="91" t="n">
        <x:v>2023</x:v>
      </x:c>
      <x:c r="E155" s="85" t="str">
        <x:v>LIBERO: Benchmarking knowledge transfer for lifelong robot learning</x:v>
      </x:c>
      <x:c r="F155" s="85" t="str">
        <x:v>LIBERO provides simulated manipulation tasks and demonstrations for studying knowledge transfer in lifelong robot learning. Its task suites examine different transfer settings, policy designs, and effects of sequential learning.</x:v>
      </x:c>
      <x:c r="G155" s="92" t="str">
        <x:v>https://arxiv.org/abs/2306.03310</x:v>
      </x:c>
      <x:c r="H155" s="85" t="str">
        <x:v>Proposed include</x:v>
      </x:c>
      <x:c r="I155" s="93" t="str">
        <x:v>Include</x:v>
      </x:c>
      <x:c r="J155" s="85" t="str">
        <x:v>Paper</x:v>
      </x:c>
      <x:c r="K155" s="85" t="str">
        <x:v>Language-conditioned manipulation benchmark</x:v>
      </x:c>
      <x:c r="L155" s="85" t="str">
        <x:v>VLA evaluation; lifelong learning; simulation</x:v>
      </x:c>
      <x:c r="M155" s="85" t="str">
        <x:v>manipulation</x:v>
      </x:c>
      <x:c r="N155" s="85" t="str">
        <x:v>Current manuscript</x:v>
      </x:c>
      <x:c r="O155" s="85" t="str">
        <x:v>arXiv:2306.03310</x:v>
      </x:c>
      <x:c r="P155" s="85" t="str">
        <x:v>Primary source checked this update</x:v>
      </x:c>
      <x:c r="Q155" s="85" t="str">
        <x:v>2026-10-01</x:v>
      </x:c>
      <x:c r="R155" s="85" t="str">
        <x:v>Primary arXiv abstract, title, and submission history</x:v>
      </x:c>
      <x:c r="S155" s="85" t="str">
        <x:v>liu2023libero</x:v>
      </x:c>
      <x:c r="T155" s="85" t="str">
        <x:v>manuscript.tex:807 (Benchmark Scope); manuscript.tex:862 (tab:benchmarks); tab:benchmarks</x:v>
      </x:c>
      <x:c r="U155" s="85" t="str">
        <x:v>Primary paper describes a manipulation dataset, benchmark, evaluation framework, or reusable data-generation resource within the review scope; proposed inclusion requires author adjudication.</x:v>
      </x:c>
      <x:c r="V155" s="85" t="str"/>
    </x:row>
    <x:row r="156" ht="139" customHeight="1">
      <x:c r="A156" s="85" t="str">
        <x:v>R155</x:v>
      </x:c>
      <x:c r="B156" s="85" t="str">
        <x:v>Dataset / benchmark</x:v>
      </x:c>
      <x:c r="C156" s="85" t="str">
        <x:v>LIBERO-Plus</x:v>
      </x:c>
      <x:c r="D156" s="91" t="n">
        <x:v>2025</x:v>
      </x:c>
      <x:c r="E156" s="85" t="str">
        <x:v>LIBERO-Plus: In-depth robustness analysis of vision-language-action models</x:v>
      </x:c>
      <x:c r="F156" s="85" t="str">
        <x:v>LIBERO-Plus probes manipulation policies with controlled changes to visual conditions, physical configurations, and language instructions. It examines whether high benchmark success persists under perturbations and whether policies reliably use language.</x:v>
      </x:c>
      <x:c r="G156" s="92" t="str">
        <x:v>https://arxiv.org/abs/2510.13626</x:v>
      </x:c>
      <x:c r="H156" s="85" t="str">
        <x:v>Proposed include</x:v>
      </x:c>
      <x:c r="I156" s="93" t="str">
        <x:v>Include</x:v>
      </x:c>
      <x:c r="J156" s="85" t="str">
        <x:v>Paper</x:v>
      </x:c>
      <x:c r="K156" s="85" t="str">
        <x:v>Robustness benchmark</x:v>
      </x:c>
      <x:c r="L156" s="85" t="str">
        <x:v>VLA evaluation; simulation</x:v>
      </x:c>
      <x:c r="M156" s="85" t="str">
        <x:v>manipulation</x:v>
      </x:c>
      <x:c r="N156" s="85" t="str">
        <x:v>Current manuscript</x:v>
      </x:c>
      <x:c r="O156" s="85" t="str">
        <x:v>arXiv:2510.13626</x:v>
      </x:c>
      <x:c r="P156" s="85" t="str">
        <x:v>Primary source checked this update</x:v>
      </x:c>
      <x:c r="Q156" s="85" t="str">
        <x:v>2026-10-01</x:v>
      </x:c>
      <x:c r="R156" s="85" t="str">
        <x:v>Primary arXiv abstract, title, and submission history</x:v>
      </x:c>
      <x:c r="S156" s="85" t="str">
        <x:v>liberoplus</x:v>
      </x:c>
      <x:c r="T156" s="85" t="str">
        <x:v>manuscript.tex:501 (L5: Evaluation Validity); manuscript.tex:72 (Introduction); manuscript.tex:730 (tab:matrix); manuscript.tex:807 (Benchmark Scope); manuscript.tex:864 (tab:benchmarks); manuscript.tex:866 (tab:benchmarks); manuscript.tex:93 (Introduction); tab:benchmarks</x:v>
      </x:c>
      <x:c r="U156" s="85" t="str">
        <x:v>Primary paper describes a manipulation dataset, benchmark, evaluation framework, or reusable data-generation resource within the review scope; proposed inclusion requires author adjudication.</x:v>
      </x:c>
      <x:c r="V156" s="85" t="str"/>
    </x:row>
    <x:row r="157" ht="61" customHeight="1">
      <x:c r="A157" s="85" t="str">
        <x:v>R156</x:v>
      </x:c>
      <x:c r="B157" s="85" t="str">
        <x:v>Dataset / benchmark</x:v>
      </x:c>
      <x:c r="C157" s="85" t="str">
        <x:v>LIBERO-Safety</x:v>
      </x:c>
      <x:c r="D157" s="91" t="n">
        <x:v>2026</x:v>
      </x:c>
      <x:c r="E157" s="85" t="str">
        <x:v>LIBERO-Safety: A comprehensive benchmark for physical and semantic safety in vision-language-action models</x:v>
      </x:c>
      <x:c r="F157" s="85" t="str">
        <x:v>LIBERO-Safety procedurally generates safety-critical manipulation scenarios and accompanying collision-free demonstrations. It evaluates physical and semantic safety properties of embodied policies under task constraints.</x:v>
      </x:c>
      <x:c r="G157" s="92" t="str">
        <x:v>https://arxiv.org/abs/2606.23686</x:v>
      </x:c>
      <x:c r="H157" s="85" t="str">
        <x:v>Proposed include</x:v>
      </x:c>
      <x:c r="I157" s="93" t="str">
        <x:v>Include</x:v>
      </x:c>
      <x:c r="J157" s="85" t="str">
        <x:v>Paper</x:v>
      </x:c>
      <x:c r="K157" s="85" t="str">
        <x:v>Physical and semantic safety benchmark</x:v>
      </x:c>
      <x:c r="L157" s="85" t="str">
        <x:v>VLA evaluation; safety; simulation</x:v>
      </x:c>
      <x:c r="M157" s="85" t="str">
        <x:v>manipulation</x:v>
      </x:c>
      <x:c r="N157" s="85" t="str">
        <x:v>Current manuscript</x:v>
      </x:c>
      <x:c r="O157" s="85" t="str">
        <x:v>arXiv:2606.23686</x:v>
      </x:c>
      <x:c r="P157" s="85" t="str">
        <x:v>Primary source checked this update</x:v>
      </x:c>
      <x:c r="Q157" s="85" t="str">
        <x:v>2026-10-01</x:v>
      </x:c>
      <x:c r="R157" s="85" t="str">
        <x:v>Primary arXiv abstract, title, and submission history</x:v>
      </x:c>
      <x:c r="S157" s="85" t="str">
        <x:v>safelibero</x:v>
      </x:c>
      <x:c r="T157" s="85" t="str">
        <x:v>manuscript.tex:510 (L6: Safety and Uncertainty); manuscript.tex:732 (tab:matrix)</x:v>
      </x:c>
      <x:c r="U157" s="85" t="str">
        <x:v>Primary paper describes a manipulation dataset, benchmark, evaluation framework, or reusable data-generation resource within the review scope; proposed inclusion requires author adjudication.</x:v>
      </x:c>
      <x:c r="V157" s="85" t="str"/>
    </x:row>
    <x:row r="158" ht="61" customHeight="1">
      <x:c r="A158" s="85" t="str">
        <x:v>R157</x:v>
      </x:c>
      <x:c r="B158" s="85" t="str">
        <x:v>Dataset / benchmark</x:v>
      </x:c>
      <x:c r="C158" s="85" t="str">
        <x:v>ManipArena</x:v>
      </x:c>
      <x:c r="D158" s="91" t="n">
        <x:v>2026</x:v>
      </x:c>
      <x:c r="E158" s="85" t="str">
        <x:v>ManipArena: Comprehensive real-world evaluation of reasoning-oriented generalist robot manipulation</x:v>
      </x:c>
      <x:c r="F158" s="85" t="str">
        <x:v>ManipArena provides standardized physical manipulation evaluation with structured task variation and paired real-to-simulation environments. It compares generalist policy configurations while tracking generalization and subtask-level performance.</x:v>
      </x:c>
      <x:c r="G158" s="92" t="str">
        <x:v>https://arxiv.org/abs/2603.28545</x:v>
      </x:c>
      <x:c r="H158" s="85" t="str">
        <x:v>Proposed include</x:v>
      </x:c>
      <x:c r="I158" s="93" t="str">
        <x:v>Include</x:v>
      </x:c>
      <x:c r="J158" s="85" t="str">
        <x:v>Paper</x:v>
      </x:c>
      <x:c r="K158" s="85" t="str">
        <x:v>Real-world manipulation generalization benchmark</x:v>
      </x:c>
      <x:c r="L158" s="85" t="str">
        <x:v>VLA evaluation; real-to-sim; world-action evaluation</x:v>
      </x:c>
      <x:c r="M158" s="85" t="str">
        <x:v>manipulation</x:v>
      </x:c>
      <x:c r="N158" s="85" t="str">
        <x:v>Current manuscript</x:v>
      </x:c>
      <x:c r="O158" s="85" t="str">
        <x:v>arXiv:2603.28545</x:v>
      </x:c>
      <x:c r="P158" s="85" t="str">
        <x:v>Primary source checked this update</x:v>
      </x:c>
      <x:c r="Q158" s="85" t="str">
        <x:v>2026-10-01</x:v>
      </x:c>
      <x:c r="R158" s="85" t="str">
        <x:v>Primary arXiv abstract, title, and submission history</x:v>
      </x:c>
      <x:c r="S158" s="85" t="str">
        <x:v>maniparena</x:v>
      </x:c>
      <x:c r="T158" s="85" t="str">
        <x:v>manuscript.tex:813 (Benchmark Scope); manuscript.tex:928 (tab:benchmarks); tab:benchmarks</x:v>
      </x:c>
      <x:c r="U158" s="85" t="str">
        <x:v>Primary paper describes a manipulation dataset, benchmark, evaluation framework, or reusable data-generation resource within the review scope; proposed inclusion requires author adjudication.</x:v>
      </x:c>
      <x:c r="V158" s="85" t="str">
        <x:v>Use one record across VLA and world-model evaluation. Latest checked arXiv v2 changes author metadata relative to the current bibliography.</x:v>
      </x:c>
    </x:row>
    <x:row r="159" ht="61" customHeight="1">
      <x:c r="A159" s="85" t="str">
        <x:v>R158</x:v>
      </x:c>
      <x:c r="B159" s="85" t="str">
        <x:v>Dataset / benchmark</x:v>
      </x:c>
      <x:c r="C159" s="85" t="str">
        <x:v>ManiSkill3</x:v>
      </x:c>
      <x:c r="D159" s="91" t="n">
        <x:v>2024</x:v>
      </x:c>
      <x:c r="E159" s="85" t="str">
        <x:v>ManiSkill3: GPU parallelized robotics simulation and rendering for generalizable embodied AI</x:v>
      </x:c>
      <x:c r="F159" s="85" t="str">
        <x:v>ManiSkill3 provides GPU-parallelized robotics simulation and rendering for learning manipulation policies. It includes diverse environments, demonstration data, and training baselines to support scalable robot-learning experiments.</x:v>
      </x:c>
      <x:c r="G159" s="92" t="str">
        <x:v>https://arxiv.org/abs/2410.00425</x:v>
      </x:c>
      <x:c r="H159" s="85" t="str">
        <x:v>Proposed include</x:v>
      </x:c>
      <x:c r="I159" s="93" t="str">
        <x:v>Include</x:v>
      </x:c>
      <x:c r="J159" s="85" t="str">
        <x:v>Paper</x:v>
      </x:c>
      <x:c r="K159" s="85" t="str">
        <x:v>Simulation platform with benchmark tasks and data</x:v>
      </x:c>
      <x:c r="L159" s="85" t="str">
        <x:v>demonstrations; simulation</x:v>
      </x:c>
      <x:c r="M159" s="85" t="str">
        <x:v>general robotics</x:v>
      </x:c>
      <x:c r="N159" s="85" t="str">
        <x:v>Current manuscript</x:v>
      </x:c>
      <x:c r="O159" s="85" t="str">
        <x:v>arXiv:2410.00425</x:v>
      </x:c>
      <x:c r="P159" s="85" t="str">
        <x:v>Primary source checked this update</x:v>
      </x:c>
      <x:c r="Q159" s="85" t="str">
        <x:v>2026-10-01</x:v>
      </x:c>
      <x:c r="R159" s="85" t="str">
        <x:v>Primary arXiv abstract, title, and submission history</x:v>
      </x:c>
      <x:c r="S159" s="85" t="str">
        <x:v>maniskill3</x:v>
      </x:c>
      <x:c r="T159" s="85" t="str">
        <x:v>manuscript.tex:807 (Benchmark Scope); manuscript.tex:882 (tab:benchmarks); tab:benchmarks</x:v>
      </x:c>
      <x:c r="U159" s="85" t="str">
        <x:v>Primary paper describes a manipulation dataset, benchmark, evaluation framework, or reusable data-generation resource within the review scope; proposed inclusion requires author adjudication.</x:v>
      </x:c>
      <x:c r="V159" s="85" t="str">
        <x:v>The paper includes reusable contact-rich manipulation tasks and demonstration data; this is more than a bare software citation.</x:v>
      </x:c>
    </x:row>
    <x:row r="160" ht="61" customHeight="1">
      <x:c r="A160" s="85" t="str">
        <x:v>R159</x:v>
      </x:c>
      <x:c r="B160" s="85" t="str">
        <x:v>Dataset / benchmark</x:v>
      </x:c>
      <x:c r="C160" s="85" t="str">
        <x:v>Meta-World</x:v>
      </x:c>
      <x:c r="D160" s="91" t="n">
        <x:v>2019</x:v>
      </x:c>
      <x:c r="E160" s="85" t="str">
        <x:v>Meta-world: A benchmark and evaluation for multi-task and meta reinforcement learning</x:v>
      </x:c>
      <x:c r="F160" s="85" t="str">
        <x:v>Meta-World provides a collection of simulated manipulation tasks for multi-task and meta-reinforcement learning. It enables evaluation of shared learning across tasks and adaptation to new task instances.</x:v>
      </x:c>
      <x:c r="G160" s="92" t="str">
        <x:v>https://arxiv.org/abs/1910.10897</x:v>
      </x:c>
      <x:c r="H160" s="85" t="str">
        <x:v>Proposed include</x:v>
      </x:c>
      <x:c r="I160" s="93" t="str">
        <x:v>Include</x:v>
      </x:c>
      <x:c r="J160" s="85" t="str">
        <x:v>Paper</x:v>
      </x:c>
      <x:c r="K160" s="85" t="str">
        <x:v>Multi-task and meta-learning benchmark</x:v>
      </x:c>
      <x:c r="L160" s="85" t="str">
        <x:v>reinforcement learning; simulation</x:v>
      </x:c>
      <x:c r="M160" s="85" t="str">
        <x:v>manipulation</x:v>
      </x:c>
      <x:c r="N160" s="85" t="str">
        <x:v>Current manuscript</x:v>
      </x:c>
      <x:c r="O160" s="85" t="str">
        <x:v>arXiv:1910.10897</x:v>
      </x:c>
      <x:c r="P160" s="85" t="str">
        <x:v>Primary source checked this update</x:v>
      </x:c>
      <x:c r="Q160" s="85" t="str">
        <x:v>2026-10-01</x:v>
      </x:c>
      <x:c r="R160" s="85" t="str">
        <x:v>Primary arXiv abstract, title, and submission history</x:v>
      </x:c>
      <x:c r="S160" s="85" t="str">
        <x:v>metaworld</x:v>
      </x:c>
      <x:c r="T160" s="85" t="str">
        <x:v>manuscript.tex:807 (Benchmark Scope); manuscript.tex:890 (tab:benchmarks); tab:benchmarks</x:v>
      </x:c>
      <x:c r="U160" s="85" t="str">
        <x:v>Primary paper describes a manipulation dataset, benchmark, evaluation framework, or reusable data-generation resource within the review scope; proposed inclusion requires author adjudication.</x:v>
      </x:c>
      <x:c r="V160" s="85" t="str"/>
    </x:row>
    <x:row r="161" ht="61" customHeight="1">
      <x:c r="A161" s="85" t="str">
        <x:v>R160</x:v>
      </x:c>
      <x:c r="B161" s="85" t="str">
        <x:v>Dataset / benchmark</x:v>
      </x:c>
      <x:c r="C161" s="85" t="str">
        <x:v>MimicGen</x:v>
      </x:c>
      <x:c r="D161" s="91" t="n">
        <x:v>2023</x:v>
      </x:c>
      <x:c r="E161" s="85" t="str">
        <x:v>MimicGen: A data generation system for scalable robot learning using human demonstrations</x:v>
      </x:c>
      <x:c r="F161" s="85" t="str">
        <x:v>MimicGen transforms and recombines human demonstrations to generate additional robot trajectories in conventional simulation. It is a demonstration-expansion pipeline rather than a learned environment dynamics model.</x:v>
      </x:c>
      <x:c r="G161" s="92" t="str">
        <x:v>https://arxiv.org/abs/2310.17596</x:v>
      </x:c>
      <x:c r="H161" s="85" t="str">
        <x:v>Proposed include</x:v>
      </x:c>
      <x:c r="I161" s="93" t="str">
        <x:v>Include</x:v>
      </x:c>
      <x:c r="J161" s="85" t="str">
        <x:v>Paper</x:v>
      </x:c>
      <x:c r="K161" s="85" t="str">
        <x:v>Synthetic demonstration generation</x:v>
      </x:c>
      <x:c r="L161" s="85" t="str">
        <x:v>dataset generation; imitation learning; simulation</x:v>
      </x:c>
      <x:c r="M161" s="85" t="str">
        <x:v>manipulation</x:v>
      </x:c>
      <x:c r="N161" s="85" t="str">
        <x:v>Current manuscript</x:v>
      </x:c>
      <x:c r="O161" s="85" t="str">
        <x:v>arXiv:2310.17596</x:v>
      </x:c>
      <x:c r="P161" s="85" t="str">
        <x:v>Primary source checked this update</x:v>
      </x:c>
      <x:c r="Q161" s="85" t="str">
        <x:v>2026-10-01</x:v>
      </x:c>
      <x:c r="R161" s="85" t="str">
        <x:v>Primary arXiv abstract, title, and submission history</x:v>
      </x:c>
      <x:c r="S161" s="85" t="str">
        <x:v>mimicgen</x:v>
      </x:c>
      <x:c r="T161" s="85" t="str">
        <x:v>manuscript.tex:619 (WM5: Learned Environments)</x:v>
      </x:c>
      <x:c r="U161" s="85" t="str">
        <x:v>Primary paper describes a manipulation dataset, benchmark, evaluation framework, or reusable data-generation resource within the review scope; proposed inclusion requires author adjudication.</x:v>
      </x:c>
      <x:c r="V161" s="85" t="str">
        <x:v>Reusable generated demonstrations and simulation tasks; not a learned world model. Proposed include as a data resource, with author adjudication of whether data-generation methods belong in the corpus.</x:v>
      </x:c>
    </x:row>
    <x:row r="162" ht="167" customHeight="1">
      <x:c r="A162" s="85" t="str">
        <x:v>R161</x:v>
      </x:c>
      <x:c r="B162" s="85" t="str">
        <x:v>Dataset / benchmark</x:v>
      </x:c>
      <x:c r="C162" s="85" t="str">
        <x:v>Open X-Embodiment / RT-X</x:v>
      </x:c>
      <x:c r="D162" s="91" t="n">
        <x:v>2023</x:v>
      </x:c>
      <x:c r="E162" s="85" t="str">
        <x:v>Open X-Embodiment: Robotic learning datasets and RT-X models</x:v>
      </x:c>
      <x:c r="F162" s="85" t="str">
        <x:v>Open X-Embodiment brings together robot demonstration datasets collected across different embodiments. The accompanying RT-X models examine whether training on this combined data improves transfer between robotic platforms.</x:v>
      </x:c>
      <x:c r="G162" s="92" t="str">
        <x:v>https://arxiv.org/abs/2310.08864</x:v>
      </x:c>
      <x:c r="H162" s="85" t="str">
        <x:v>Proposed include</x:v>
      </x:c>
      <x:c r="I162" s="93" t="str">
        <x:v>Include</x:v>
      </x:c>
      <x:c r="J162" s="85" t="str">
        <x:v>Paper</x:v>
      </x:c>
      <x:c r="K162" s="85" t="str">
        <x:v>Cross-embodiment robot dataset</x:v>
      </x:c>
      <x:c r="L162" s="85" t="str">
        <x:v>RT-X; VLA; real robot</x:v>
      </x:c>
      <x:c r="M162" s="85" t="str">
        <x:v>manipulation</x:v>
      </x:c>
      <x:c r="N162" s="85" t="str">
        <x:v>Current manuscript</x:v>
      </x:c>
      <x:c r="O162" s="85" t="str">
        <x:v>arXiv:2310.08864</x:v>
      </x:c>
      <x:c r="P162" s="85" t="str">
        <x:v>Primary source checked this update</x:v>
      </x:c>
      <x:c r="Q162" s="85" t="str">
        <x:v>2026-10-01</x:v>
      </x:c>
      <x:c r="R162" s="85" t="str">
        <x:v>Primary arXiv abstract, title, and submission history</x:v>
      </x:c>
      <x:c r="S162" s="85" t="str">
        <x:v>oxe</x:v>
      </x:c>
      <x:c r="T162" s="85" t="str">
        <x:v>manuscript.tex:1264 (tab:datasets); manuscript.tex:325 (Group A: Action Tokens); manuscript.tex:422 (tab:vla-master); manuscript.tex:480 (L3: Data Requirements); manuscript.tex:72 (Introduction); manuscript.tex:726 (tab:matrix); manuscript.tex:809 (Benchmark Scope); manuscript.tex:898 (tab:benchmarks); tab:vla-master; tab:benchmarks; tab:datasets</x:v>
      </x:c>
      <x:c r="U162" s="85" t="str">
        <x:v>Primary paper describes a manipulation dataset, benchmark, evaluation framework, or reusable data-generation resource within the review scope; proposed inclusion requires author adjudication.</x:v>
      </x:c>
      <x:c r="V162" s="85" t="str">
        <x:v>Dataset and RT-X model share one report. Assign one primary category and retain VLA as a secondary tag to avoid double counting. Year field records first arXiv release (2023); current manuscript cites 2024. These are versions of one report, not separate included papers. Year differs from the manuscript citation; register uses the documented source year.</x:v>
      </x:c>
    </x:row>
    <x:row r="163" ht="125" customHeight="1">
      <x:c r="A163" s="85" t="str">
        <x:v>R162</x:v>
      </x:c>
      <x:c r="B163" s="85" t="str">
        <x:v>Dataset / benchmark</x:v>
      </x:c>
      <x:c r="C163" s="85" t="str">
        <x:v>PolaRiS</x:v>
      </x:c>
      <x:c r="D163" s="91" t="n">
        <x:v>2025</x:v>
      </x:c>
      <x:c r="E163" s="85" t="str">
        <x:v>PolaRiS: Scalable real-to-sim evaluations for generalist robot policies</x:v>
      </x:c>
      <x:c r="F163" s="85" t="str">
        <x:v>PolaRiS reconstructs interactive simulation environments from short scans of real scenes for robot-policy evaluation. Paired simulated and physical tests examine how well these evaluations predict real-world performance.</x:v>
      </x:c>
      <x:c r="G163" s="92" t="str">
        <x:v>https://arxiv.org/abs/2512.16881</x:v>
      </x:c>
      <x:c r="H163" s="85" t="str">
        <x:v>Proposed include</x:v>
      </x:c>
      <x:c r="I163" s="93" t="str">
        <x:v>Include</x:v>
      </x:c>
      <x:c r="J163" s="85" t="str">
        <x:v>Paper</x:v>
      </x:c>
      <x:c r="K163" s="85" t="str">
        <x:v>Real-to-sim evaluation methodology</x:v>
      </x:c>
      <x:c r="L163" s="85" t="str">
        <x:v>VLA evaluation; digital twins; sim-to-real</x:v>
      </x:c>
      <x:c r="M163" s="85" t="str">
        <x:v>manipulation</x:v>
      </x:c>
      <x:c r="N163" s="85" t="str">
        <x:v>Current manuscript</x:v>
      </x:c>
      <x:c r="O163" s="85" t="str">
        <x:v>arXiv:2512.16881</x:v>
      </x:c>
      <x:c r="P163" s="85" t="str">
        <x:v>Primary source checked this update</x:v>
      </x:c>
      <x:c r="Q163" s="85" t="str">
        <x:v>2026-10-01</x:v>
      </x:c>
      <x:c r="R163" s="85" t="str">
        <x:v>Primary arXiv abstract, title, and submission history</x:v>
      </x:c>
      <x:c r="S163" s="85" t="str">
        <x:v>polaris</x:v>
      </x:c>
      <x:c r="T163" s="85" t="str">
        <x:v>manuscript.tex:1160 (Evaluation and Deployment); manuscript.tex:503 (L5: Evaluation Validity); manuscript.tex:621 (WM5: Learned Environments); manuscript.tex:665 (Limitations of World Models); manuscript.tex:730 (tab:matrix); manuscript.tex:93 (Introduction)</x:v>
      </x:c>
      <x:c r="U163" s="85" t="str">
        <x:v>Primary paper describes a manipulation dataset, benchmark, evaluation framework, or reusable data-generation resource within the review scope; proposed inclusion requires author adjudication.</x:v>
      </x:c>
      <x:c r="V163" s="85" t="str"/>
    </x:row>
    <x:row r="164" ht="61" customHeight="1">
      <x:c r="A164" s="85" t="str">
        <x:v>R163</x:v>
      </x:c>
      <x:c r="B164" s="85" t="str">
        <x:v>Dataset / benchmark</x:v>
      </x:c>
      <x:c r="C164" s="85" t="str">
        <x:v>RH20T</x:v>
      </x:c>
      <x:c r="D164" s="91" t="n">
        <x:v>2023</x:v>
      </x:c>
      <x:c r="E164" s="85" t="str">
        <x:v>RH20T: A comprehensive robotic dataset for learning diverse skills in one-shot</x:v>
      </x:c>
      <x:c r="F164" s="85" t="str">
        <x:v>RH20T records contact-rich real-world manipulation with visual, force, audio, and action information. Corresponding human demonstration videos and language descriptions support research on learning varied skills from demonstrations.</x:v>
      </x:c>
      <x:c r="G164" s="92" t="str">
        <x:v>https://arxiv.org/abs/2307.00595</x:v>
      </x:c>
      <x:c r="H164" s="85" t="str">
        <x:v>Proposed include</x:v>
      </x:c>
      <x:c r="I164" s="93" t="str">
        <x:v>Include</x:v>
      </x:c>
      <x:c r="J164" s="85" t="str">
        <x:v>Paper</x:v>
      </x:c>
      <x:c r="K164" s="85" t="str">
        <x:v>Multimodal real-world manipulation dataset</x:v>
      </x:c>
      <x:c r="L164" s="85" t="str">
        <x:v>contact rich; demonstrations; force</x:v>
      </x:c>
      <x:c r="M164" s="85" t="str">
        <x:v>manipulation</x:v>
      </x:c>
      <x:c r="N164" s="85" t="str">
        <x:v>Current manuscript</x:v>
      </x:c>
      <x:c r="O164" s="85" t="str">
        <x:v>arXiv:2307.00595</x:v>
      </x:c>
      <x:c r="P164" s="85" t="str">
        <x:v>Primary source checked this update</x:v>
      </x:c>
      <x:c r="Q164" s="85" t="str">
        <x:v>2026-10-01</x:v>
      </x:c>
      <x:c r="R164" s="85" t="str">
        <x:v>Primary arXiv abstract, title, and submission history</x:v>
      </x:c>
      <x:c r="S164" s="85" t="str">
        <x:v>rh20t</x:v>
      </x:c>
      <x:c r="T164" s="85" t="str">
        <x:v>manuscript.tex:809 (Benchmark Scope)</x:v>
      </x:c>
      <x:c r="U164" s="85" t="str">
        <x:v>Primary paper describes a manipulation dataset, benchmark, evaluation framework, or reusable data-generation resource within the review scope; proposed inclusion requires author adjudication.</x:v>
      </x:c>
      <x:c r="V164" s="85" t="str">
        <x:v>Year field records first arXiv release (2023); current manuscript cites 2024. These are versions of one report, not separate included papers. Year differs from the manuscript citation; register uses the documented source year.</x:v>
      </x:c>
    </x:row>
    <x:row r="165" ht="61" customHeight="1">
      <x:c r="A165" s="85" t="str">
        <x:v>R164</x:v>
      </x:c>
      <x:c r="B165" s="85" t="str">
        <x:v>Dataset / benchmark</x:v>
      </x:c>
      <x:c r="C165" s="85" t="str">
        <x:v>RLBench</x:v>
      </x:c>
      <x:c r="D165" s="91" t="n">
        <x:v>2019</x:v>
      </x:c>
      <x:c r="E165" s="85" t="str">
        <x:v>RLBench: The robot learning benchmark &amp; learning environment</x:v>
      </x:c>
      <x:c r="F165" s="85" t="str">
        <x:v>RLBench provides diverse simulated manipulation tasks, visual and proprioceptive observations, and motion-planned demonstrations. It supports research on imitation, reinforcement, multi-task, and few-shot robot learning.</x:v>
      </x:c>
      <x:c r="G165" s="92" t="str">
        <x:v>https://arxiv.org/abs/1909.12271</x:v>
      </x:c>
      <x:c r="H165" s="85" t="str">
        <x:v>Proposed include</x:v>
      </x:c>
      <x:c r="I165" s="93" t="str">
        <x:v>Include</x:v>
      </x:c>
      <x:c r="J165" s="85" t="str">
        <x:v>Paper</x:v>
      </x:c>
      <x:c r="K165" s="85" t="str">
        <x:v>Manipulation benchmark and demonstrations</x:v>
      </x:c>
      <x:c r="L165" s="85" t="str">
        <x:v>imitation learning; simulation</x:v>
      </x:c>
      <x:c r="M165" s="85" t="str">
        <x:v>manipulation</x:v>
      </x:c>
      <x:c r="N165" s="85" t="str">
        <x:v>Current manuscript</x:v>
      </x:c>
      <x:c r="O165" s="85" t="str">
        <x:v>arXiv:1909.12271</x:v>
      </x:c>
      <x:c r="P165" s="85" t="str">
        <x:v>Primary source checked this update</x:v>
      </x:c>
      <x:c r="Q165" s="85" t="str">
        <x:v>2026-10-01</x:v>
      </x:c>
      <x:c r="R165" s="85" t="str">
        <x:v>Primary arXiv abstract, title, and submission history</x:v>
      </x:c>
      <x:c r="S165" s="85" t="str">
        <x:v>rlbench</x:v>
      </x:c>
      <x:c r="T165" s="85" t="str">
        <x:v>manuscript.tex:807 (Benchmark Scope); manuscript.tex:878 (tab:benchmarks); tab:benchmarks</x:v>
      </x:c>
      <x:c r="U165" s="85" t="str">
        <x:v>Primary paper describes a manipulation dataset, benchmark, evaluation framework, or reusable data-generation resource within the review scope; proposed inclusion requires author adjudication.</x:v>
      </x:c>
      <x:c r="V165" s="85" t="str">
        <x:v>Year field records first arXiv release (2019); current manuscript cites 2020. These are versions of one report, not separate included papers. Year differs from the manuscript citation; register uses the documented source year.</x:v>
      </x:c>
    </x:row>
    <x:row r="166" ht="83" customHeight="1">
      <x:c r="A166" s="85" t="str">
        <x:v>R165</x:v>
      </x:c>
      <x:c r="B166" s="85" t="str">
        <x:v>Dataset / benchmark</x:v>
      </x:c>
      <x:c r="C166" s="85" t="str">
        <x:v>RoboArena</x:v>
      </x:c>
      <x:c r="D166" s="91" t="n">
        <x:v>2025</x:v>
      </x:c>
      <x:c r="E166" s="85" t="str">
        <x:v>RoboArena: Distributed real-world evaluation of generalist robot policies</x:v>
      </x:c>
      <x:c r="F166" s="85" t="str">
        <x:v>RoboArena distributes real-robot evaluation across multiple evaluators, who compare pairs of policies under shared local conditions. Aggregated preference feedback supports policy comparison across varied tasks and environments.</x:v>
      </x:c>
      <x:c r="G166" s="92" t="str">
        <x:v>https://arxiv.org/abs/2506.18123</x:v>
      </x:c>
      <x:c r="H166" s="85" t="str">
        <x:v>Proposed include</x:v>
      </x:c>
      <x:c r="I166" s="93" t="str">
        <x:v>Include</x:v>
      </x:c>
      <x:c r="J166" s="85" t="str">
        <x:v>Paper</x:v>
      </x:c>
      <x:c r="K166" s="85" t="str">
        <x:v>Distributed physical policy evaluation</x:v>
      </x:c>
      <x:c r="L166" s="85" t="str">
        <x:v>VLA evaluation; real robot</x:v>
      </x:c>
      <x:c r="M166" s="85" t="str">
        <x:v>manipulation</x:v>
      </x:c>
      <x:c r="N166" s="85" t="str">
        <x:v>Current manuscript</x:v>
      </x:c>
      <x:c r="O166" s="85" t="str">
        <x:v>arXiv:2506.18123</x:v>
      </x:c>
      <x:c r="P166" s="85" t="str">
        <x:v>Primary source checked this update</x:v>
      </x:c>
      <x:c r="Q166" s="85" t="str">
        <x:v>2026-10-01</x:v>
      </x:c>
      <x:c r="R166" s="85" t="str">
        <x:v>Primary arXiv abstract, title, and submission history</x:v>
      </x:c>
      <x:c r="S166" s="85" t="str">
        <x:v>roboarena</x:v>
      </x:c>
      <x:c r="T166" s="85" t="str">
        <x:v>manuscript.tex:1160 (Evaluation and Deployment); manuscript.tex:809 (Benchmark Scope); manuscript.tex:894 (tab:benchmarks); tab:benchmarks</x:v>
      </x:c>
      <x:c r="U166" s="85" t="str">
        <x:v>Primary paper describes a manipulation dataset, benchmark, evaluation framework, or reusable data-generation resource within the review scope; proposed inclusion requires author adjudication.</x:v>
      </x:c>
      <x:c r="V166" s="85" t="str"/>
    </x:row>
    <x:row r="167" ht="61" customHeight="1">
      <x:c r="A167" s="85" t="str">
        <x:v>R166</x:v>
      </x:c>
      <x:c r="B167" s="85" t="str">
        <x:v>Dataset / benchmark</x:v>
      </x:c>
      <x:c r="C167" s="85" t="str">
        <x:v>RoboCasa</x:v>
      </x:c>
      <x:c r="D167" s="91" t="n">
        <x:v>2024</x:v>
      </x:c>
      <x:c r="E167" s="85" t="str">
        <x:v>RoboCasa: Large-scale simulation of everyday tasks for generalist robots</x:v>
      </x:c>
      <x:c r="F167" s="85" t="str">
        <x:v>RoboCasa provides diverse simulated everyday environments, with a focus on kitchen manipulation tasks. It combines task definitions, human demonstrations, and automated trajectory generation for training and evaluating generalist robots.</x:v>
      </x:c>
      <x:c r="G167" s="92" t="str">
        <x:v>https://arxiv.org/abs/2406.02523</x:v>
      </x:c>
      <x:c r="H167" s="85" t="str">
        <x:v>Proposed include</x:v>
      </x:c>
      <x:c r="I167" s="93" t="str">
        <x:v>Include</x:v>
      </x:c>
      <x:c r="J167" s="85" t="str">
        <x:v>Paper</x:v>
      </x:c>
      <x:c r="K167" s="85" t="str">
        <x:v>Household manipulation simulation benchmark</x:v>
      </x:c>
      <x:c r="L167" s="85" t="str">
        <x:v>demonstrations; mobile manipulation; simulation</x:v>
      </x:c>
      <x:c r="M167" s="85" t="str">
        <x:v>manipulation</x:v>
      </x:c>
      <x:c r="N167" s="85" t="str">
        <x:v>Current manuscript</x:v>
      </x:c>
      <x:c r="O167" s="85" t="str">
        <x:v>arXiv:2406.02523</x:v>
      </x:c>
      <x:c r="P167" s="85" t="str">
        <x:v>Primary source checked this update</x:v>
      </x:c>
      <x:c r="Q167" s="85" t="str">
        <x:v>2026-10-01</x:v>
      </x:c>
      <x:c r="R167" s="85" t="str">
        <x:v>Primary arXiv abstract, title, and submission history</x:v>
      </x:c>
      <x:c r="S167" s="85" t="str">
        <x:v>robocasa</x:v>
      </x:c>
      <x:c r="T167" s="85" t="str">
        <x:v>manuscript.tex:807 (Benchmark Scope); manuscript.tex:886 (tab:benchmarks); tab:benchmarks</x:v>
      </x:c>
      <x:c r="U167" s="85" t="str">
        <x:v>Primary paper describes a manipulation dataset, benchmark, evaluation framework, or reusable data-generation resource within the review scope; proposed inclusion requires author adjudication.</x:v>
      </x:c>
      <x:c r="V167" s="85" t="str"/>
    </x:row>
    <x:row r="168" ht="61" customHeight="1">
      <x:c r="A168" s="85" t="str">
        <x:v>R167</x:v>
      </x:c>
      <x:c r="B168" s="85" t="str">
        <x:v>Dataset / benchmark</x:v>
      </x:c>
      <x:c r="C168" s="85" t="str">
        <x:v>RoboCasa365</x:v>
      </x:c>
      <x:c r="D168" s="91" t="n">
        <x:v>2026</x:v>
      </x:c>
      <x:c r="E168" s="85" t="str">
        <x:v>RoboCasa365: A Large-Scale Simulation Framework for Training and Benchmarking Generalist Robots</x:v>
      </x:c>
      <x:c r="F168" s="85" t="str">
        <x:v>RoboCasa365 expands household manipulation evaluation across diverse kitchen environments and task compositions. It pairs human and synthetic demonstrations with protocols for multi-task learning, foundation-model training, and lifelong learning.</x:v>
      </x:c>
      <x:c r="G168" s="92" t="str">
        <x:v>https://arxiv.org/abs/2603.04356</x:v>
      </x:c>
      <x:c r="H168" s="85" t="str">
        <x:v>Proposed include</x:v>
      </x:c>
      <x:c r="I168" s="93" t="str">
        <x:v>Include</x:v>
      </x:c>
      <x:c r="J168" s="85" t="str">
        <x:v>Paper</x:v>
      </x:c>
      <x:c r="K168" s="85" t="str">
        <x:v>Household mobile-manipulation benchmark</x:v>
      </x:c>
      <x:c r="L168" s="85" t="str">
        <x:v>demonstrations; mobile manipulation; simulation</x:v>
      </x:c>
      <x:c r="M168" s="85" t="str">
        <x:v>manipulation</x:v>
      </x:c>
      <x:c r="N168" s="85" t="str">
        <x:v>Additional search</x:v>
      </x:c>
      <x:c r="O168" s="85" t="str">
        <x:v>arXiv:2603.04356</x:v>
      </x:c>
      <x:c r="P168" s="85" t="str">
        <x:v>Primary source checked this update</x:v>
      </x:c>
      <x:c r="Q168" s="85" t="str">
        <x:v>2026-10-01</x:v>
      </x:c>
      <x:c r="R168" s="85" t="str">
        <x:v>Primary arXiv abstract, title, and submission history</x:v>
      </x:c>
      <x:c r="S168" s="85" t="str">
        <x:v>robocasa365</x:v>
      </x:c>
      <x:c r="T168" s="85" t="str"/>
      <x:c r="U168" s="85" t="str">
        <x:v>Primary paper describes a manipulation dataset, benchmark, evaluation framework, or reusable data-generation resource within the review scope; proposed inclusion requires author adjudication.</x:v>
      </x:c>
      <x:c r="V168" s="85" t="str">
        <x:v>ICLR2026 paper; distinct report extending RoboCasa2024, not another arXiv version of that paper.</x:v>
      </x:c>
    </x:row>
    <x:row r="169" ht="61" customHeight="1">
      <x:c r="A169" s="85" t="str">
        <x:v>R168</x:v>
      </x:c>
      <x:c r="B169" s="85" t="str">
        <x:v>Dataset / benchmark</x:v>
      </x:c>
      <x:c r="C169" s="85" t="str">
        <x:v>robomimic study</x:v>
      </x:c>
      <x:c r="D169" s="91" t="n">
        <x:v>2021</x:v>
      </x:c>
      <x:c r="E169" s="85" t="str">
        <x:v>What Matters in Learning from Offline Human Demonstrations for Robot Manipulation</x:v>
      </x:c>
      <x:c r="F169" s="85" t="str">
        <x:v>This study compares offline imitation and reinforcement-learning methods on multi-stage manipulation with human demonstrations of differing quality. It releases reproducible datasets and baselines and analyzes how observations, training choices, and policy selection affect evaluation.</x:v>
      </x:c>
      <x:c r="G169" s="92" t="str">
        <x:v>https://arxiv.org/abs/2108.03298</x:v>
      </x:c>
      <x:c r="H169" s="85" t="str">
        <x:v>Proposed include</x:v>
      </x:c>
      <x:c r="I169" s="93" t="str">
        <x:v>Include</x:v>
      </x:c>
      <x:c r="J169" s="85" t="str">
        <x:v>Paper</x:v>
      </x:c>
      <x:c r="K169" s="85" t="str">
        <x:v>Offline demonstration-learning evaluation and datasets</x:v>
      </x:c>
      <x:c r="L169" s="85" t="str">
        <x:v>evaluation methodology; human demonstrations; offline learning</x:v>
      </x:c>
      <x:c r="M169" s="85" t="str">
        <x:v>manipulation</x:v>
      </x:c>
      <x:c r="N169" s="85" t="str">
        <x:v>Additional search</x:v>
      </x:c>
      <x:c r="O169" s="85" t="str">
        <x:v>arXiv:2108.03298</x:v>
      </x:c>
      <x:c r="P169" s="85" t="str">
        <x:v>Primary source checked this update</x:v>
      </x:c>
      <x:c r="Q169" s="85" t="str">
        <x:v>2026-10-01</x:v>
      </x:c>
      <x:c r="R169" s="85" t="str">
        <x:v>Primary arXiv abstract, title, and submission history</x:v>
      </x:c>
      <x:c r="S169" s="85" t="str">
        <x:v>robomimic</x:v>
      </x:c>
      <x:c r="T169" s="85" t="str"/>
      <x:c r="U169" s="85" t="str">
        <x:v>Primary paper describes a manipulation dataset, benchmark, evaluation framework, or reusable data-generation resource within the review scope; proposed inclusion requires author adjudication.</x:v>
      </x:c>
      <x:c r="V169" s="85" t="str">
        <x:v>CoRL2021; within2018-2026 evaluation window. The paper and its robomimic software release are one research report, not two papers.</x:v>
      </x:c>
    </x:row>
    <x:row r="170" ht="61" customHeight="1">
      <x:c r="A170" s="85" t="str">
        <x:v>R169</x:v>
      </x:c>
      <x:c r="B170" s="85" t="str">
        <x:v>Dataset / benchmark</x:v>
      </x:c>
      <x:c r="C170" s="85" t="str">
        <x:v>RoboMIND</x:v>
      </x:c>
      <x:c r="D170" s="91" t="n">
        <x:v>2024</x:v>
      </x:c>
      <x:c r="E170" s="85" t="str">
        <x:v>RoboMIND: Benchmark on multi-embodiment intelligence normative data for robot manipulation</x:v>
      </x:c>
      <x:c r="F170" s="85" t="str">
        <x:v>RoboMIND collects teleoperated manipulation demonstrations across robot embodiments under a standardized protocol. It includes multimodal observations, task descriptions, failure demonstrations, and digital-twin support for training and evaluation.</x:v>
      </x:c>
      <x:c r="G170" s="92" t="str">
        <x:v>https://arxiv.org/abs/2412.13877</x:v>
      </x:c>
      <x:c r="H170" s="85" t="str">
        <x:v>Proposed include</x:v>
      </x:c>
      <x:c r="I170" s="93" t="str">
        <x:v>Include</x:v>
      </x:c>
      <x:c r="J170" s="85" t="str">
        <x:v>Paper</x:v>
      </x:c>
      <x:c r="K170" s="85" t="str">
        <x:v>Multi-embodiment dataset and evaluation</x:v>
      </x:c>
      <x:c r="L170" s="85" t="str">
        <x:v>demonstrations; digital twins; failure data</x:v>
      </x:c>
      <x:c r="M170" s="85" t="str">
        <x:v>manipulation</x:v>
      </x:c>
      <x:c r="N170" s="85" t="str">
        <x:v>Current manuscript</x:v>
      </x:c>
      <x:c r="O170" s="85" t="str">
        <x:v>arXiv:2412.13877</x:v>
      </x:c>
      <x:c r="P170" s="85" t="str">
        <x:v>Primary source checked this update</x:v>
      </x:c>
      <x:c r="Q170" s="85" t="str">
        <x:v>2026-10-01</x:v>
      </x:c>
      <x:c r="R170" s="85" t="str">
        <x:v>Primary arXiv abstract, title, and submission history</x:v>
      </x:c>
      <x:c r="S170" s="85" t="str">
        <x:v>robomind</x:v>
      </x:c>
      <x:c r="T170" s="85" t="str">
        <x:v>manuscript.tex:809 (Benchmark Scope)</x:v>
      </x:c>
      <x:c r="U170" s="85" t="str">
        <x:v>Primary paper describes a manipulation dataset, benchmark, evaluation framework, or reusable data-generation resource within the review scope; proposed inclusion requires author adjudication.</x:v>
      </x:c>
      <x:c r="V170" s="85" t="str">
        <x:v>Published RSS2025, DOI10.15607/RSS.2025.XXI.152; consolidate the 2024 arXiv and conference paper.</x:v>
      </x:c>
    </x:row>
    <x:row r="171" ht="61" customHeight="1">
      <x:c r="A171" s="85" t="str">
        <x:v>R170</x:v>
      </x:c>
      <x:c r="B171" s="85" t="str">
        <x:v>Dataset / benchmark</x:v>
      </x:c>
      <x:c r="C171" s="85" t="str">
        <x:v>RoboTwin 2.0</x:v>
      </x:c>
      <x:c r="D171" s="91" t="n">
        <x:v>2025</x:v>
      </x:c>
      <x:c r="E171" s="85" t="str">
        <x:v>RoboTwin 2.0: A Scalable Data Generator and Benchmark with Strong Domain Randomization for Robust Bimanual Robotic Manipulation</x:v>
      </x:c>
      <x:c r="F171" s="85" t="str">
        <x:v>RoboTwin 2.0 combines automated demonstration generation with benchmark protocols for bimanual manipulation across robot embodiments. Structured domain randomization supports studies of robustness and sim-to-real transfer.</x:v>
      </x:c>
      <x:c r="G171" s="92" t="str">
        <x:v>https://arxiv.org/abs/2506.18088</x:v>
      </x:c>
      <x:c r="H171" s="85" t="str">
        <x:v>Proposed include</x:v>
      </x:c>
      <x:c r="I171" s="93" t="str">
        <x:v>Include</x:v>
      </x:c>
      <x:c r="J171" s="85" t="str">
        <x:v>Paper</x:v>
      </x:c>
      <x:c r="K171" s="85" t="str">
        <x:v>Bimanual benchmark and synthetic data generation</x:v>
      </x:c>
      <x:c r="L171" s="85" t="str">
        <x:v>bimanual; sim-to-real; synthetic data</x:v>
      </x:c>
      <x:c r="M171" s="85" t="str">
        <x:v>manipulation</x:v>
      </x:c>
      <x:c r="N171" s="85" t="str">
        <x:v>Additional search</x:v>
      </x:c>
      <x:c r="O171" s="85" t="str">
        <x:v>arXiv:2506.18088</x:v>
      </x:c>
      <x:c r="P171" s="85" t="str">
        <x:v>Primary source checked this update</x:v>
      </x:c>
      <x:c r="Q171" s="85" t="str">
        <x:v>2026-10-01</x:v>
      </x:c>
      <x:c r="R171" s="85" t="str">
        <x:v>Primary arXiv abstract, title, and submission history</x:v>
      </x:c>
      <x:c r="S171" s="85" t="str">
        <x:v>robotwin2</x:v>
      </x:c>
      <x:c r="T171" s="85" t="str">
        <x:v>manuscript.tex:447 (tab:vla-master; RoboTwin named without a dataset/benchmark citation)</x:v>
      </x:c>
      <x:c r="U171" s="85" t="str">
        <x:v>Primary paper describes a manipulation dataset, benchmark, evaluation framework, or reusable data-generation resource within the review scope; proposed inclusion requires author adjudication.</x:v>
      </x:c>
      <x:c r="V171" s="85" t="str">
        <x:v>RoboTwin is named in a SimpleVLA-RL table row, but its own report is absent from the current reference list. Retain one report for RoboTwin2.0 rather than counting object library, benchmark, and generator separately.</x:v>
      </x:c>
    </x:row>
    <x:row r="172" ht="69" customHeight="1">
      <x:c r="A172" s="85" t="str">
        <x:v>R171</x:v>
      </x:c>
      <x:c r="B172" s="85" t="str">
        <x:v>Dataset / benchmark</x:v>
      </x:c>
      <x:c r="C172" s="85" t="str">
        <x:v>SIMPLER / SimplerEnv</x:v>
      </x:c>
      <x:c r="D172" s="91" t="n">
        <x:v>2024</x:v>
      </x:c>
      <x:c r="E172" s="85" t="str">
        <x:v>Evaluating real-world robot manipulation policies in simulation</x:v>
      </x:c>
      <x:c r="F172" s="85" t="str">
        <x:v>SimplerEnv constructs simulated evaluations intended to correspond to physical robot manipulation settings. It studies how closely policy performance in these simulations tracks real-world evaluation.</x:v>
      </x:c>
      <x:c r="G172" s="92" t="str">
        <x:v>https://arxiv.org/abs/2405.05941</x:v>
      </x:c>
      <x:c r="H172" s="85" t="str">
        <x:v>Proposed include</x:v>
      </x:c>
      <x:c r="I172" s="93" t="str">
        <x:v>Include</x:v>
      </x:c>
      <x:c r="J172" s="85" t="str">
        <x:v>Paper</x:v>
      </x:c>
      <x:c r="K172" s="85" t="str">
        <x:v>Paired simulation and real-robot evaluation</x:v>
      </x:c>
      <x:c r="L172" s="85" t="str">
        <x:v>VLA evaluation; sim-to-real</x:v>
      </x:c>
      <x:c r="M172" s="85" t="str">
        <x:v>manipulation</x:v>
      </x:c>
      <x:c r="N172" s="85" t="str">
        <x:v>Current manuscript</x:v>
      </x:c>
      <x:c r="O172" s="85" t="str">
        <x:v>arXiv:2405.05941</x:v>
      </x:c>
      <x:c r="P172" s="85" t="str">
        <x:v>Primary source checked this update</x:v>
      </x:c>
      <x:c r="Q172" s="85" t="str">
        <x:v>2026-10-01</x:v>
      </x:c>
      <x:c r="R172" s="85" t="str">
        <x:v>Primary arXiv abstract, title, and submission history</x:v>
      </x:c>
      <x:c r="S172" s="85" t="str">
        <x:v>simplerenv</x:v>
      </x:c>
      <x:c r="T172" s="85" t="str">
        <x:v>manuscript.tex:503 (L5: Evaluation Validity); manuscript.tex:809 (Benchmark Scope); manuscript.tex:870 (tab:benchmarks); tab:benchmarks</x:v>
      </x:c>
      <x:c r="U172" s="85" t="str">
        <x:v>Primary paper describes a manipulation dataset, benchmark, evaluation framework, or reusable data-generation resource within the review scope; proposed inclusion requires author adjudication.</x:v>
      </x:c>
      <x:c r="V172" s="85" t="str"/>
    </x:row>
    <x:row r="173" ht="61" customHeight="1">
      <x:c r="A173" s="85" t="str">
        <x:v>R172</x:v>
      </x:c>
      <x:c r="B173" s="85" t="str">
        <x:v>Dataset / benchmark</x:v>
      </x:c>
      <x:c r="C173" s="85" t="str">
        <x:v>THE COLOSSEUM</x:v>
      </x:c>
      <x:c r="D173" s="91" t="n">
        <x:v>2024</x:v>
      </x:c>
      <x:c r="E173" s="85" t="str">
        <x:v>THE COLOSSEUM: A benchmark for evaluating generalization for robotic manipulation</x:v>
      </x:c>
      <x:c r="F173" s="85" t="str">
        <x:v>THE COLOSSEUM evaluates manipulation-policy generalization through systematic changes to task and environment conditions. It tests robustness beyond performance in an unchanged benchmark setting.</x:v>
      </x:c>
      <x:c r="G173" s="92" t="str">
        <x:v>https://arxiv.org/abs/2402.08191</x:v>
      </x:c>
      <x:c r="H173" s="85" t="str">
        <x:v>Proposed include</x:v>
      </x:c>
      <x:c r="I173" s="93" t="str">
        <x:v>Include</x:v>
      </x:c>
      <x:c r="J173" s="85" t="str">
        <x:v>Paper</x:v>
      </x:c>
      <x:c r="K173" s="85" t="str">
        <x:v>Manipulation generalization benchmark</x:v>
      </x:c>
      <x:c r="L173" s="85" t="str">
        <x:v>robustness; simulation</x:v>
      </x:c>
      <x:c r="M173" s="85" t="str">
        <x:v>manipulation</x:v>
      </x:c>
      <x:c r="N173" s="85" t="str">
        <x:v>Current manuscript</x:v>
      </x:c>
      <x:c r="O173" s="85" t="str">
        <x:v>arXiv:2402.08191</x:v>
      </x:c>
      <x:c r="P173" s="85" t="str">
        <x:v>Primary source checked this update</x:v>
      </x:c>
      <x:c r="Q173" s="85" t="str">
        <x:v>2026-10-01</x:v>
      </x:c>
      <x:c r="R173" s="85" t="str">
        <x:v>Primary arXiv abstract, title, and submission history</x:v>
      </x:c>
      <x:c r="S173" s="85" t="str">
        <x:v>colosseum</x:v>
      </x:c>
      <x:c r="T173" s="85" t="str">
        <x:v>manuscript.tex:809 (Benchmark Scope)</x:v>
      </x:c>
      <x:c r="U173" s="85" t="str">
        <x:v>Primary paper describes a manipulation dataset, benchmark, evaluation framework, or reusable data-generation resource within the review scope; proposed inclusion requires author adjudication.</x:v>
      </x:c>
      <x:c r="V173" s="85" t="str"/>
    </x:row>
    <x:row r="174" ht="61" customHeight="1">
      <x:c r="A174" s="85" t="str">
        <x:v>R173</x:v>
      </x:c>
      <x:c r="B174" s="85" t="str">
        <x:v>Dataset / benchmark</x:v>
      </x:c>
      <x:c r="C174" s="85" t="str">
        <x:v>vla-eval paper</x:v>
      </x:c>
      <x:c r="D174" s="91" t="n">
        <x:v>2026</x:v>
      </x:c>
      <x:c r="E174" s="85" t="str">
        <x:v>vla-eval: A Unified Evaluation Harness for Vision-Language-Action Models</x:v>
      </x:c>
      <x:c r="F174" s="85" t="str">
        <x:v>vla-eval separates policy inference from benchmark execution through a shared interface and isolated simulation environments. Its paper reports reproduction studies and documents protocol and preprocessing pitfalls that affect cross-benchmark comparisons.</x:v>
      </x:c>
      <x:c r="G174" s="92" t="str">
        <x:v>https://arxiv.org/abs/2603.13966</x:v>
      </x:c>
      <x:c r="H174" s="85" t="str">
        <x:v>Proposed include</x:v>
      </x:c>
      <x:c r="I174" s="93" t="str">
        <x:v>Include</x:v>
      </x:c>
      <x:c r="J174" s="85" t="str">
        <x:v>Paper</x:v>
      </x:c>
      <x:c r="K174" s="85" t="str">
        <x:v>Evaluation infrastructure and reproducibility study</x:v>
      </x:c>
      <x:c r="L174" s="85" t="str">
        <x:v>VLA evaluation; reproducibility; software</x:v>
      </x:c>
      <x:c r="M174" s="85" t="str">
        <x:v>general robotics</x:v>
      </x:c>
      <x:c r="N174" s="85" t="str">
        <x:v>Additional search</x:v>
      </x:c>
      <x:c r="O174" s="85" t="str">
        <x:v>arXiv:2603.13966</x:v>
      </x:c>
      <x:c r="P174" s="85" t="str">
        <x:v>Primary source checked this update</x:v>
      </x:c>
      <x:c r="Q174" s="85" t="str">
        <x:v>2026-10-01</x:v>
      </x:c>
      <x:c r="R174" s="85" t="str">
        <x:v>Primary arXiv abstract, title, and submission history</x:v>
      </x:c>
      <x:c r="S174" s="85" t="str">
        <x:v>vlaeval2026</x:v>
      </x:c>
      <x:c r="T174" s="85" t="str"/>
      <x:c r="U174" s="85" t="str">
        <x:v>Primary paper describes a manipulation dataset, benchmark, evaluation framework, or reusable data-generation resource within the review scope; proposed inclusion requires author adjudication.</x:v>
      </x:c>
      <x:c r="V174" s="85" t="str">
        <x:v>Research paper associated with existing vlaharness software citation. Checkedv3(2026-09-14); count this paper once and retain the software record as Non-paper source.</x:v>
      </x:c>
    </x:row>
    <x:row r="175" ht="61" customHeight="1">
      <x:c r="A175" s="85" t="str">
        <x:v>R174</x:v>
      </x:c>
      <x:c r="B175" s="85" t="str">
        <x:v>Dataset / benchmark</x:v>
      </x:c>
      <x:c r="C175" s="85" t="str">
        <x:v>VLABench</x:v>
      </x:c>
      <x:c r="D175" s="91" t="n">
        <x:v>2024</x:v>
      </x:c>
      <x:c r="E175" s="85" t="str">
        <x:v>VLABench: A large-scale benchmark for language-conditioned robotics manipulation with long-horizon reasoning tasks</x:v>
      </x:c>
      <x:c r="F175" s="85" t="str">
        <x:v>VLABench evaluates language-conditioned manipulation with randomized tasks, implicit intentions, and multi-step reasoning requirements. It assesses action policies and language-based capabilities while providing data for downstream training.</x:v>
      </x:c>
      <x:c r="G175" s="92" t="str">
        <x:v>https://arxiv.org/abs/2412.18194</x:v>
      </x:c>
      <x:c r="H175" s="85" t="str">
        <x:v>Proposed include</x:v>
      </x:c>
      <x:c r="I175" s="93" t="str">
        <x:v>Include</x:v>
      </x:c>
      <x:c r="J175" s="85" t="str">
        <x:v>Paper</x:v>
      </x:c>
      <x:c r="K175" s="85" t="str">
        <x:v>Language-conditioned reasoning benchmark</x:v>
      </x:c>
      <x:c r="L175" s="85" t="str">
        <x:v>VLA evaluation; long horizon; simulation</x:v>
      </x:c>
      <x:c r="M175" s="85" t="str">
        <x:v>manipulation</x:v>
      </x:c>
      <x:c r="N175" s="85" t="str">
        <x:v>Current manuscript</x:v>
      </x:c>
      <x:c r="O175" s="85" t="str">
        <x:v>arXiv:2412.18194</x:v>
      </x:c>
      <x:c r="P175" s="85" t="str">
        <x:v>Primary source checked this update</x:v>
      </x:c>
      <x:c r="Q175" s="85" t="str">
        <x:v>2026-10-01</x:v>
      </x:c>
      <x:c r="R175" s="85" t="str">
        <x:v>Primary arXiv abstract, title, and submission history</x:v>
      </x:c>
      <x:c r="S175" s="85" t="str">
        <x:v>vlabench</x:v>
      </x:c>
      <x:c r="T175" s="85" t="str">
        <x:v>manuscript.tex:807 (Benchmark Scope)</x:v>
      </x:c>
      <x:c r="U175" s="85" t="str">
        <x:v>Primary paper describes a manipulation dataset, benchmark, evaluation framework, or reusable data-generation resource within the review scope; proposed inclusion requires author adjudication.</x:v>
      </x:c>
      <x:c r="V175" s="85" t="str">
        <x:v>ICCV2025 publication and 2024 arXiv preprint refer to one report; year field uses first arXiv release.</x:v>
      </x:c>
    </x:row>
    <x:row r="176" ht="111" customHeight="1">
      <x:c r="A176" s="85" t="str">
        <x:v>R175</x:v>
      </x:c>
      <x:c r="B176" s="85" t="str">
        <x:v>Dataset / benchmark</x:v>
      </x:c>
      <x:c r="C176" s="85" t="str">
        <x:v>WorldArena</x:v>
      </x:c>
      <x:c r="D176" s="91" t="n">
        <x:v>2026</x:v>
      </x:c>
      <x:c r="E176" s="85" t="str">
        <x:v>WorldArena: A unified benchmark for evaluating perception and functional utility of embodied world models</x:v>
      </x:c>
      <x:c r="F176" s="85" t="str">
        <x:v>WorldArena evaluates both perceptual quality and functional uses of embodied world models. Its tests cover data generation, policy evaluation, and action planning, exposing differences between visual fidelity and task usefulness.</x:v>
      </x:c>
      <x:c r="G176" s="92" t="str">
        <x:v>https://arxiv.org/abs/2602.08971</x:v>
      </x:c>
      <x:c r="H176" s="85" t="str">
        <x:v>Proposed include</x:v>
      </x:c>
      <x:c r="I176" s="93" t="str">
        <x:v>Include</x:v>
      </x:c>
      <x:c r="J176" s="85" t="str">
        <x:v>Paper</x:v>
      </x:c>
      <x:c r="K176" s="85" t="str">
        <x:v>Functional embodied world-model benchmark</x:v>
      </x:c>
      <x:c r="L176" s="85" t="str">
        <x:v>planning; policy evaluation; world-model evaluation</x:v>
      </x:c>
      <x:c r="M176" s="85" t="str">
        <x:v>manipulation</x:v>
      </x:c>
      <x:c r="N176" s="85" t="str">
        <x:v>Current manuscript</x:v>
      </x:c>
      <x:c r="O176" s="85" t="str">
        <x:v>arXiv:2602.08971</x:v>
      </x:c>
      <x:c r="P176" s="85" t="str">
        <x:v>Primary source checked this update</x:v>
      </x:c>
      <x:c r="Q176" s="85" t="str">
        <x:v>2026-10-01</x:v>
      </x:c>
      <x:c r="R176" s="85" t="str">
        <x:v>Primary arXiv abstract, title, and submission history</x:v>
      </x:c>
      <x:c r="S176" s="85" t="str">
        <x:v>worldarena</x:v>
      </x:c>
      <x:c r="T176" s="85" t="str">
        <x:v>manuscript.tex:1129 (Predictive Foundations); manuscript.tex:811 (Benchmark Scope); manuscript.tex:813 (Benchmark Scope); manuscript.tex:839 (tab:fournotions); manuscript.tex:920 (tab:benchmarks); tab:benchmarks</x:v>
      </x:c>
      <x:c r="U176" s="85" t="str">
        <x:v>Primary paper describes a manipulation dataset, benchmark, evaluation framework, or reusable data-generation resource within the review scope; proposed inclusion requires author adjudication.</x:v>
      </x:c>
      <x:c r="V176" s="85" t="str"/>
    </x:row>
    <x:row r="177" ht="97" customHeight="1">
      <x:c r="A177" s="85" t="str">
        <x:v>R176</x:v>
      </x:c>
      <x:c r="B177" s="85" t="str">
        <x:v>Dataset / benchmark</x:v>
      </x:c>
      <x:c r="C177" s="85" t="str">
        <x:v>WorldArena 2.0</x:v>
      </x:c>
      <x:c r="D177" s="91" t="n">
        <x:v>2026</x:v>
      </x:c>
      <x:c r="E177" s="85" t="str">
        <x:v>WorldArena 2.0: Extending embodied world model benchmarking on modality, functionality and platform</x:v>
      </x:c>
      <x:c r="F177" s="85" t="str">
        <x:v>WorldArena 2.0 extends world-model evaluation to visuotactile observations, interactive reinforcement-learning environments, and multiple robotic platforms. It assesses prediction and interactive utility across simulated and real-world settings.</x:v>
      </x:c>
      <x:c r="G177" s="92" t="str">
        <x:v>https://arxiv.org/abs/2605.17912</x:v>
      </x:c>
      <x:c r="H177" s="85" t="str">
        <x:v>Proposed include</x:v>
      </x:c>
      <x:c r="I177" s="93" t="str">
        <x:v>Include</x:v>
      </x:c>
      <x:c r="J177" s="85" t="str">
        <x:v>Paper</x:v>
      </x:c>
      <x:c r="K177" s="85" t="str">
        <x:v>Multimodal and interactive world-model benchmark</x:v>
      </x:c>
      <x:c r="L177" s="85" t="str">
        <x:v>reinforcement learning; visuotactile; world-model evaluation</x:v>
      </x:c>
      <x:c r="M177" s="85" t="str">
        <x:v>general robotics</x:v>
      </x:c>
      <x:c r="N177" s="85" t="str">
        <x:v>Current manuscript</x:v>
      </x:c>
      <x:c r="O177" s="85" t="str">
        <x:v>arXiv:2605.17912</x:v>
      </x:c>
      <x:c r="P177" s="85" t="str">
        <x:v>Primary source checked this update</x:v>
      </x:c>
      <x:c r="Q177" s="85" t="str">
        <x:v>2026-10-01</x:v>
      </x:c>
      <x:c r="R177" s="85" t="str">
        <x:v>Primary arXiv abstract, title, and submission history</x:v>
      </x:c>
      <x:c r="S177" s="85" t="str">
        <x:v>shang2026worldarena2</x:v>
      </x:c>
      <x:c r="T177" s="85" t="str">
        <x:v>manuscript.tex:1129 (Predictive Foundations); manuscript.tex:811 (Benchmark Scope); manuscript.tex:813 (Benchmark Scope); manuscript.tex:924 (tab:benchmarks); tab:benchmarks</x:v>
      </x:c>
      <x:c r="U177" s="85" t="str">
        <x:v>Primary paper describes a manipulation dataset, benchmark, evaluation framework, or reusable data-generation resource within the review scope; proposed inclusion requires author adjudication.</x:v>
      </x:c>
      <x:c r="V177" s="85" t="str"/>
    </x:row>
    <x:row r="178" ht="69" customHeight="1">
      <x:c r="A178" s="85" t="str">
        <x:v>R177</x:v>
      </x:c>
      <x:c r="B178" s="85" t="str">
        <x:v>Dataset / benchmark</x:v>
      </x:c>
      <x:c r="C178" s="85" t="str">
        <x:v>Ego4D</x:v>
      </x:c>
      <x:c r="D178" s="91" t="n">
        <x:v>2021</x:v>
      </x:c>
      <x:c r="E178" s="85" t="str">
        <x:v>Ego4D: Around the world in 3,000 hours of egocentric video</x:v>
      </x:c>
      <x:c r="F178" s="85" t="str">
        <x:v>Ego4D collects diverse first-person human video and defines benchmarks for egocentric perception. It provides visual experience relevant to representation learning, distinct from demonstrations labelled with robot-control actions.</x:v>
      </x:c>
      <x:c r="G178" s="92" t="str">
        <x:v>https://arxiv.org/abs/2110.07058</x:v>
      </x:c>
      <x:c r="H178" s="85" t="str">
        <x:v>Background</x:v>
      </x:c>
      <x:c r="I178" s="93" t="str">
        <x:v>Background</x:v>
      </x:c>
      <x:c r="J178" s="85" t="str">
        <x:v>Paper</x:v>
      </x:c>
      <x:c r="K178" s="85" t="str">
        <x:v>Human egocentric video dataset</x:v>
      </x:c>
      <x:c r="L178" s="85" t="str">
        <x:v>human activity; passive video</x:v>
      </x:c>
      <x:c r="M178" s="85" t="str">
        <x:v>other</x:v>
      </x:c>
      <x:c r="N178" s="85" t="str">
        <x:v>Current manuscript</x:v>
      </x:c>
      <x:c r="O178" s="85" t="str">
        <x:v>arXiv:2110.07058</x:v>
      </x:c>
      <x:c r="P178" s="85" t="str">
        <x:v>Primary source checked this update</x:v>
      </x:c>
      <x:c r="Q178" s="85" t="str">
        <x:v>2026-10-01</x:v>
      </x:c>
      <x:c r="R178" s="85" t="str">
        <x:v>Primary arXiv abstract, title, and submission history</x:v>
      </x:c>
      <x:c r="S178" s="85" t="str">
        <x:v>ego4d</x:v>
      </x:c>
      <x:c r="T178" s="85" t="str">
        <x:v>manuscript.tex:1269 (tab:datasets); tab:datasets</x:v>
      </x:c>
      <x:c r="U178" s="85" t="str">
        <x:v>Useful contextual resource, but not a robot-manipulation dataset or control benchmark for the proposed included corpus.</x:v>
      </x:c>
      <x:c r="V178" s="85" t="str">
        <x:v>Context for video pretraining; human video is not an action-labelled robot dataset. Year field records first arXiv release (2021); current manuscript cites 2022. These are versions of one report, not separate included papers. Year differs from the manuscript citation; register uses the documented source year.</x:v>
      </x:c>
    </x:row>
    <x:row r="179" ht="61" customHeight="1">
      <x:c r="A179" s="85" t="str">
        <x:v>R178</x:v>
      </x:c>
      <x:c r="B179" s="85" t="str">
        <x:v>Dataset / benchmark</x:v>
      </x:c>
      <x:c r="C179" s="85" t="str">
        <x:v>LeRobot</x:v>
      </x:c>
      <x:c r="D179" s="91" t="n">
        <x:v>2026</x:v>
      </x:c>
      <x:c r="E179" s="85" t="str">
        <x:v>LeRobot: An open-source library for end-to-end robot learning</x:v>
      </x:c>
      <x:c r="F179" s="85" t="str">
        <x:v>LeRobot integrates hardware communication, data collection and storage, policy training, and inference within an open robot-learning library. It supports accessible real-world hardware and extensible implementations of learning-based control methods.</x:v>
      </x:c>
      <x:c r="G179" s="92" t="str">
        <x:v>https://arxiv.org/abs/2602.22818</x:v>
      </x:c>
      <x:c r="H179" s="85" t="str">
        <x:v>Background</x:v>
      </x:c>
      <x:c r="I179" s="93" t="str">
        <x:v>Background</x:v>
      </x:c>
      <x:c r="J179" s="85" t="str">
        <x:v>Paper</x:v>
      </x:c>
      <x:c r="K179" s="85" t="str">
        <x:v>Robot-learning software and data infrastructure paper</x:v>
      </x:c>
      <x:c r="L179" s="85" t="str">
        <x:v>dataset infrastructure; software</x:v>
      </x:c>
      <x:c r="M179" s="85" t="str">
        <x:v>general robotics</x:v>
      </x:c>
      <x:c r="N179" s="85" t="str">
        <x:v>Current manuscript</x:v>
      </x:c>
      <x:c r="O179" s="85" t="str">
        <x:v>arXiv:2602.22818</x:v>
      </x:c>
      <x:c r="P179" s="85" t="str">
        <x:v>Primary source checked this update</x:v>
      </x:c>
      <x:c r="Q179" s="85" t="str">
        <x:v>2026-10-01</x:v>
      </x:c>
      <x:c r="R179" s="85" t="str">
        <x:v>Primary arXiv abstract, title, and submission history</x:v>
      </x:c>
      <x:c r="S179" s="85" t="str">
        <x:v>cadene2026lerobot</x:v>
      </x:c>
      <x:c r="T179" s="85" t="str">
        <x:v>manuscript.tex:1268 (tab:datasets); tab:datasets</x:v>
      </x:c>
      <x:c r="U179" s="85" t="str">
        <x:v>Useful contextual resource, but not a robot-manipulation dataset or control benchmark for the proposed included corpus.</x:v>
      </x:c>
      <x:c r="V179" s="85" t="str">
        <x:v>This is a real paper, not a non-paper source. The library is not one fixed dataset: community-hosted datasets have separate provenance and licenses; do not count each community collection without a distinct report.</x:v>
      </x:c>
    </x:row>
    <x:row r="180" ht="139" customHeight="1">
      <x:c r="A180" s="85" t="str">
        <x:v>R179</x:v>
      </x:c>
      <x:c r="B180" s="85" t="str">
        <x:v>Dataset / benchmark</x:v>
      </x:c>
      <x:c r="C180" s="85" t="str">
        <x:v>Physics-IQ</x:v>
      </x:c>
      <x:c r="D180" s="91" t="n">
        <x:v>2025</x:v>
      </x:c>
      <x:c r="E180" s="85" t="str">
        <x:v>Do generative video models understand physical principles?</x:v>
      </x:c>
      <x:c r="F180" s="85" t="str">
        <x:v>Physics-IQ evaluates physical prediction using paired real videos rather than visual plausibility alone. It supplies evidence about physical consistency in generative video models without directly measuring robot-control success.</x:v>
      </x:c>
      <x:c r="G180" s="92" t="str">
        <x:v>https://arxiv.org/abs/2501.09038</x:v>
      </x:c>
      <x:c r="H180" s="85" t="str">
        <x:v>Background</x:v>
      </x:c>
      <x:c r="I180" s="93" t="str">
        <x:v>Background</x:v>
      </x:c>
      <x:c r="J180" s="85" t="str">
        <x:v>Paper</x:v>
      </x:c>
      <x:c r="K180" s="85" t="str">
        <x:v>Physical-consistency video benchmark</x:v>
      </x:c>
      <x:c r="L180" s="85" t="str">
        <x:v>physics; world-model evaluation</x:v>
      </x:c>
      <x:c r="M180" s="85" t="str">
        <x:v>other</x:v>
      </x:c>
      <x:c r="N180" s="85" t="str">
        <x:v>Current manuscript</x:v>
      </x:c>
      <x:c r="O180" s="85" t="str">
        <x:v>arXiv:2501.09038</x:v>
      </x:c>
      <x:c r="P180" s="85" t="str">
        <x:v>Primary source checked this update</x:v>
      </x:c>
      <x:c r="Q180" s="85" t="str">
        <x:v>2026-10-01</x:v>
      </x:c>
      <x:c r="R180" s="85" t="str">
        <x:v>Primary arXiv abstract, title, and submission history</x:v>
      </x:c>
      <x:c r="S180" s="85" t="str">
        <x:v>physicsiq</x:v>
      </x:c>
      <x:c r="T180" s="85" t="str">
        <x:v>manuscript.tex:1127 (Predictive Foundations); manuscript.tex:496 (L4: Physical Grounding); manuscript.tex:661 (Limitations of World Models); manuscript.tex:728 (tab:matrix); manuscript.tex:811 (Benchmark Scope); manuscript.tex:829 (tab:fournotions); manuscript.tex:908 (tab:benchmarks); tab:benchmarks</x:v>
      </x:c>
      <x:c r="U180" s="85" t="str">
        <x:v>Useful contextual resource, but not a robot-manipulation dataset or control benchmark for the proposed included corpus.</x:v>
      </x:c>
      <x:c r="V180" s="85" t="str">
        <x:v>Official arXiv title says physical principles; current manuscript bibliography says physical laws. No action-conditioned robot-control evaluation.</x:v>
      </x:c>
    </x:row>
    <x:row r="181" ht="69" customHeight="1">
      <x:c r="A181" s="85" t="str">
        <x:v>R180</x:v>
      </x:c>
      <x:c r="B181" s="85" t="str">
        <x:v>Dataset / benchmark</x:v>
      </x:c>
      <x:c r="C181" s="85" t="str">
        <x:v>VBench-2.0</x:v>
      </x:c>
      <x:c r="D181" s="91" t="n">
        <x:v>2025</x:v>
      </x:c>
      <x:c r="E181" s="85" t="str">
        <x:v>VBench-2.0: Advancing video generation benchmark suite for intrinsic faithfulness</x:v>
      </x:c>
      <x:c r="F181" s="85" t="str">
        <x:v>VBench-2.0 evaluates generated video for human fidelity, controllability, creativity, physics, and commonsense. Its metrics target intrinsic faithfulness beyond surface visual plausibility.</x:v>
      </x:c>
      <x:c r="G181" s="92" t="str">
        <x:v>https://arxiv.org/abs/2503.21755</x:v>
      </x:c>
      <x:c r="H181" s="85" t="str">
        <x:v>Background</x:v>
      </x:c>
      <x:c r="I181" s="93" t="str">
        <x:v>Background</x:v>
      </x:c>
      <x:c r="J181" s="85" t="str">
        <x:v>Paper</x:v>
      </x:c>
      <x:c r="K181" s="85" t="str">
        <x:v>General video-generation benchmark</x:v>
      </x:c>
      <x:c r="L181" s="85" t="str">
        <x:v>video fidelity; world-model evaluation</x:v>
      </x:c>
      <x:c r="M181" s="85" t="str">
        <x:v>other</x:v>
      </x:c>
      <x:c r="N181" s="85" t="str">
        <x:v>Current manuscript</x:v>
      </x:c>
      <x:c r="O181" s="85" t="str">
        <x:v>arXiv:2503.21755</x:v>
      </x:c>
      <x:c r="P181" s="85" t="str">
        <x:v>Primary source checked this update</x:v>
      </x:c>
      <x:c r="Q181" s="85" t="str">
        <x:v>2026-10-01</x:v>
      </x:c>
      <x:c r="R181" s="85" t="str">
        <x:v>Primary arXiv abstract, title, and submission history</x:v>
      </x:c>
      <x:c r="S181" s="85" t="str">
        <x:v>vbench2</x:v>
      </x:c>
      <x:c r="T181" s="85" t="str">
        <x:v>manuscript.tex:496 (L4: Physical Grounding); manuscript.tex:811 (Benchmark Scope); manuscript.tex:912 (tab:benchmarks); tab:benchmarks</x:v>
      </x:c>
      <x:c r="U181" s="85" t="str">
        <x:v>Useful contextual resource, but not a robot-manipulation dataset or control benchmark for the proposed included corpus.</x:v>
      </x:c>
      <x:c r="V181" s="85" t="str">
        <x:v>General video rather than robot-control benchmark. Official author order begins Dian Zheng and Ziqi Huang; manuscript currently starts Ziqi Huang et al.</x:v>
      </x:c>
    </x:row>
    <x:row r="182" ht="61" customHeight="1">
      <x:c r="A182" s="85" t="str">
        <x:v>R181</x:v>
      </x:c>
      <x:c r="B182" s="85" t="str">
        <x:v>Dataset / benchmark</x:v>
      </x:c>
      <x:c r="C182" s="85" t="str">
        <x:v>VLA Evaluation Harness v0.4.0</x:v>
      </x:c>
      <x:c r="D182" s="91" t="n">
        <x:v>2026</x:v>
      </x:c>
      <x:c r="E182" s="85" t="str">
        <x:v>VLA evaluation harness</x:v>
      </x:c>
      <x:c r="F182" s="85" t="str">
        <x:v>The VLA Evaluation Harness provides a common framework for running robot-policy evaluations across simulation benchmarks. Its versioned implementation separates model servers from benchmark clients and records reproducible evaluation configurations.</x:v>
      </x:c>
      <x:c r="G182" s="92" t="str">
        <x:v>https://github.com/allenai/vla-evaluation-harness/tree/v0.4.0</x:v>
      </x:c>
      <x:c r="H182" s="85" t="str">
        <x:v>Non-paper source</x:v>
      </x:c>
      <x:c r="I182" s="93" t="str">
        <x:v>Exclude</x:v>
      </x:c>
      <x:c r="J182" s="85" t="str">
        <x:v>Technical release / software</x:v>
      </x:c>
      <x:c r="K182" s="85" t="str">
        <x:v>Versioned evaluation software</x:v>
      </x:c>
      <x:c r="L182" s="85" t="str">
        <x:v>evaluation infrastructure; software</x:v>
      </x:c>
      <x:c r="M182" s="85" t="str">
        <x:v>general robotics</x:v>
      </x:c>
      <x:c r="N182" s="85" t="str">
        <x:v>Current manuscript</x:v>
      </x:c>
      <x:c r="O182" s="85" t="str">
        <x:v>https://github.com/allenai/vla-evaluation-harness/tree/v0.4.0</x:v>
      </x:c>
      <x:c r="P182" s="85" t="str">
        <x:v>Primary source checked this update</x:v>
      </x:c>
      <x:c r="Q182" s="85" t="str">
        <x:v>2026-10-01</x:v>
      </x:c>
      <x:c r="R182" s="85" t="str">
        <x:v>Official repository README at v0.4.0: Motivation, Architecture, Citation</x:v>
      </x:c>
      <x:c r="S182" s="85" t="str">
        <x:v>vlaharness</x:v>
      </x:c>
      <x:c r="T182" s="85" t="str">
        <x:v>manuscript.tex:1160 (Evaluation and Deployment)</x:v>
      </x:c>
      <x:c r="U182" s="85" t="str">
        <x:v>This cited record is an official software release rather than a paper; the associated research paper is separately linked.</x:v>
      </x:c>
      <x:c r="V182" s="85" t="str">
        <x:v>Official repository citation points to vla-eval, arXiv2603.13966, which is included as one paper candidate in vlaeval2026. Do not count the repository release as another paper.</x:v>
      </x:c>
    </x:row>
    <x:row r="183" ht="111" customHeight="1">
      <x:c r="A183" s="85" t="str">
        <x:v>R182</x:v>
      </x:c>
      <x:c r="B183" s="85" t="str">
        <x:v>Dataset / benchmark</x:v>
      </x:c>
      <x:c r="C183" s="85" t="str">
        <x:v>WorldModelBench</x:v>
      </x:c>
      <x:c r="D183" s="91" t="n">
        <x:v>2025</x:v>
      </x:c>
      <x:c r="E183" s="85" t="str">
        <x:v>WorldModelBench: Judging video generation models as world models</x:v>
      </x:c>
      <x:c r="F183" s="85" t="str">
        <x:v>WorldModelBench evaluates instruction-conditioned video generation against physical principles. It assesses properties of generated worlds rather than serving as a direct manipulation-policy success benchmark.</x:v>
      </x:c>
      <x:c r="G183" s="92" t="str">
        <x:v>https://arxiv.org/abs/2502.20694</x:v>
      </x:c>
      <x:c r="H183" s="85" t="str">
        <x:v>Background</x:v>
      </x:c>
      <x:c r="I183" s="93" t="str">
        <x:v>Background</x:v>
      </x:c>
      <x:c r="J183" s="85" t="str">
        <x:v>Paper</x:v>
      </x:c>
      <x:c r="K183" s="85" t="str">
        <x:v>General video world-model evaluation</x:v>
      </x:c>
      <x:c r="L183" s="85" t="str">
        <x:v>video fidelity; world-model evaluation</x:v>
      </x:c>
      <x:c r="M183" s="85" t="str">
        <x:v>other</x:v>
      </x:c>
      <x:c r="N183" s="85" t="str">
        <x:v>Current manuscript</x:v>
      </x:c>
      <x:c r="O183" s="85" t="str">
        <x:v>arXiv:2502.20694</x:v>
      </x:c>
      <x:c r="P183" s="85" t="str">
        <x:v>Primary source checked this update</x:v>
      </x:c>
      <x:c r="Q183" s="85" t="str">
        <x:v>2026-10-01</x:v>
      </x:c>
      <x:c r="R183" s="85" t="str">
        <x:v>Primary arXiv abstract, title, and submission history</x:v>
      </x:c>
      <x:c r="S183" s="85" t="str">
        <x:v>wmbench</x:v>
      </x:c>
      <x:c r="T183" s="85" t="str">
        <x:v>manuscript.tex:496 (L4: Physical Grounding); manuscript.tex:728 (tab:matrix); manuscript.tex:811 (Benchmark Scope); manuscript.tex:834 (tab:fournotions); manuscript.tex:904 (tab:benchmarks); tab:benchmarks</x:v>
      </x:c>
      <x:c r="U183" s="85" t="str">
        <x:v>Useful contextual resource, but not a robot-manipulation dataset or control benchmark for the proposed included corpus.</x:v>
      </x:c>
      <x:c r="V183" s="85" t="str">
        <x:v>Measures instruction following and physical consistency of generated video; not a closed-loop manipulation-control benchmark.</x:v>
      </x:c>
    </x:row>
    <x:row r="184" ht="61" customHeight="1">
      <x:c r="A184" s="85" t="str">
        <x:v>R183</x:v>
      </x:c>
      <x:c r="B184" s="85" t="str">
        <x:v>Background / other</x:v>
      </x:c>
      <x:c r="C184" s="85" t="str">
        <x:v>A Comprehensive Survey on World Models for Embodied AI</x:v>
      </x:c>
      <x:c r="D184" s="91" t="n">
        <x:v>2025</x:v>
      </x:c>
      <x:c r="E184" s="85" t="str">
        <x:v>A Comprehensive Survey on World Models for Embodied AI</x:v>
      </x:c>
      <x:c r="F184" s="85" t="str">
        <x:v>This survey classifies embodied world models by functionality, temporal modeling, and spatial representation. It compares data resources and evaluation criteria while emphasizing physical consistency, temporal coherence, and computational cost.</x:v>
      </x:c>
      <x:c r="G184" s="92" t="str">
        <x:v>https://arxiv.org/abs/2510.16732</x:v>
      </x:c>
      <x:c r="H184" s="85" t="str">
        <x:v>Background</x:v>
      </x:c>
      <x:c r="I184" s="93" t="str">
        <x:v>Background</x:v>
      </x:c>
      <x:c r="J184" s="85" t="str">
        <x:v>Paper</x:v>
      </x:c>
      <x:c r="K184" s="85" t="str">
        <x:v>Survey</x:v>
      </x:c>
      <x:c r="L184" s="85" t="str"/>
      <x:c r="M184" s="85" t="str">
        <x:v>context</x:v>
      </x:c>
      <x:c r="N184" s="85" t="str">
        <x:v>Current manuscript</x:v>
      </x:c>
      <x:c r="O184" s="85" t="str">
        <x:v>arXiv:2510.16732</x:v>
      </x:c>
      <x:c r="P184" s="85" t="str">
        <x:v>Unverified</x:v>
      </x:c>
      <x:c r="Q184" s="85" t="str"/>
      <x:c r="R184" s="85" t="str">
        <x:v>Current bibliography; prior register metadata only</x:v>
      </x:c>
      <x:c r="S184" s="85" t="str">
        <x:v>li2025wm</x:v>
      </x:c>
      <x:c r="T184" s="85" t="str"/>
      <x:c r="U184" s="85" t="str">
        <x:v>Supporting, survey, foundational, or methodological citation retained outside the proposed manipulation corpus.</x:v>
      </x:c>
      <x:c r="V184" s="85" t="str"/>
    </x:row>
    <x:row r="185" ht="69" customHeight="1">
      <x:c r="A185" s="85" t="str">
        <x:v>R184</x:v>
      </x:c>
      <x:c r="B185" s="85" t="str">
        <x:v>Background / other</x:v>
      </x:c>
      <x:c r="C185" s="85" t="str">
        <x:v>A Reduction of Imitation Learning and Structured Prediction to No-Regret Online Learning</x:v>
      </x:c>
      <x:c r="D185" s="91" t="n">
        <x:v>2011</x:v>
      </x:c>
      <x:c r="E185" s="85" t="str">
        <x:v>A Reduction of Imitation Learning and Structured Prediction to No-Regret Online Learning</x:v>
      </x:c>
      <x:c r="F185" s="85" t="str">
        <x:v>DAgger addresses imitation-learning distribution shift by iteratively collecting expert labels on states encountered by the learner. The paper connects this data-aggregation procedure to no-regret online learning and sequential prediction.</x:v>
      </x:c>
      <x:c r="G185" s="92" t="str">
        <x:v>https://proceedings.mlr.press/v15/ross11a/ross11a.pdf</x:v>
      </x:c>
      <x:c r="H185" s="85" t="str">
        <x:v>Background</x:v>
      </x:c>
      <x:c r="I185" s="93" t="str">
        <x:v>Background</x:v>
      </x:c>
      <x:c r="J185" s="85" t="str">
        <x:v>Paper</x:v>
      </x:c>
      <x:c r="K185" s="85" t="str">
        <x:v>Methodology</x:v>
      </x:c>
      <x:c r="L185" s="85" t="str"/>
      <x:c r="M185" s="85" t="str">
        <x:v>context</x:v>
      </x:c>
      <x:c r="N185" s="85" t="str">
        <x:v>Current manuscript</x:v>
      </x:c>
      <x:c r="O185" s="85" t="str">
        <x:v>https://proceedings.mlr.press/v15/ross11a/ross11a.pdf</x:v>
      </x:c>
      <x:c r="P185" s="85" t="str">
        <x:v>Unverified</x:v>
      </x:c>
      <x:c r="Q185" s="85" t="str"/>
      <x:c r="R185" s="85" t="str">
        <x:v>Current bibliography; prior register metadata only</x:v>
      </x:c>
      <x:c r="S185" s="85" t="str">
        <x:v>dagger</x:v>
      </x:c>
      <x:c r="T185" s="85" t="str"/>
      <x:c r="U185" s="85" t="str">
        <x:v>Supporting, survey, foundational, or methodological citation retained outside the proposed manipulation corpus.</x:v>
      </x:c>
      <x:c r="V185" s="85" t="str"/>
    </x:row>
    <x:row r="186" ht="61" customHeight="1">
      <x:c r="A186" s="85" t="str">
        <x:v>R185</x:v>
      </x:c>
      <x:c r="B186" s="85" t="str">
        <x:v>Background / other</x:v>
      </x:c>
      <x:c r="C186" s="85" t="str">
        <x:v>A Step Toward World Models</x:v>
      </x:c>
      <x:c r="D186" s="91" t="n">
        <x:v>2025</x:v>
      </x:c>
      <x:c r="E186" s="85" t="str">
        <x:v>A Step Toward World Models: A Survey on Robotic Manipulation</x:v>
      </x:c>
      <x:c r="F186" s="85" t="str">
        <x:v>This survey examines manipulation methods that exhibit world-model capabilities, including approaches not explicitly labeled as world models. It uses their roles in perception, prediction, and control to identify the components needed for broader predictive robotics.</x:v>
      </x:c>
      <x:c r="G186" s="92" t="str">
        <x:v>https://arxiv.org/abs/2511.02097</x:v>
      </x:c>
      <x:c r="H186" s="85" t="str">
        <x:v>Background</x:v>
      </x:c>
      <x:c r="I186" s="93" t="str">
        <x:v>Background</x:v>
      </x:c>
      <x:c r="J186" s="85" t="str">
        <x:v>Paper</x:v>
      </x:c>
      <x:c r="K186" s="85" t="str">
        <x:v>Survey</x:v>
      </x:c>
      <x:c r="L186" s="85" t="str"/>
      <x:c r="M186" s="85" t="str">
        <x:v>context</x:v>
      </x:c>
      <x:c r="N186" s="85" t="str">
        <x:v>Current manuscript</x:v>
      </x:c>
      <x:c r="O186" s="85" t="str">
        <x:v>arXiv:2511.02097</x:v>
      </x:c>
      <x:c r="P186" s="85" t="str">
        <x:v>Unverified</x:v>
      </x:c>
      <x:c r="Q186" s="85" t="str"/>
      <x:c r="R186" s="85" t="str">
        <x:v>Current bibliography; prior register metadata only</x:v>
      </x:c>
      <x:c r="S186" s="85" t="str">
        <x:v>li2025step</x:v>
      </x:c>
      <x:c r="T186" s="85" t="str"/>
      <x:c r="U186" s="85" t="str">
        <x:v>Supporting, survey, foundational, or methodological citation retained outside the proposed manipulation corpus.</x:v>
      </x:c>
      <x:c r="V186" s="85" t="str">
        <x:v>The as-cited reference lists X. Li et al.; the primary source instead identifies Peng-Fei Zhang and colleagues. Citation number, key and as-cited wording are retained for traceability; the author attribution requires correction in the manuscript bibliography.</x:v>
      </x:c>
    </x:row>
    <x:row r="187" ht="61" customHeight="1">
      <x:c r="A187" s="85" t="str">
        <x:v>R186</x:v>
      </x:c>
      <x:c r="B187" s="85" t="str">
        <x:v>Background / other</x:v>
      </x:c>
      <x:c r="C187" s="85" t="str">
        <x:v>A Survey on Efficient Vision-Language-Action Models</x:v>
      </x:c>
      <x:c r="D187" s="91" t="n">
        <x:v>2025</x:v>
      </x:c>
      <x:c r="E187" s="85" t="str">
        <x:v>A Survey on Efficient Vision-Language-Action Models</x:v>
      </x:c>
      <x:c r="F187" s="85" t="str">
        <x:v>This survey organizes VLA efficiency research around model design, training, and robotic-data collection. It compares architectural compression and other resource-saving strategies across the learning and deployment pipeline.</x:v>
      </x:c>
      <x:c r="G187" s="92" t="str">
        <x:v>https://arxiv.org/abs/2510.24795</x:v>
      </x:c>
      <x:c r="H187" s="85" t="str">
        <x:v>Background</x:v>
      </x:c>
      <x:c r="I187" s="93" t="str">
        <x:v>Background</x:v>
      </x:c>
      <x:c r="J187" s="85" t="str">
        <x:v>Paper</x:v>
      </x:c>
      <x:c r="K187" s="85" t="str">
        <x:v>Survey</x:v>
      </x:c>
      <x:c r="L187" s="85" t="str"/>
      <x:c r="M187" s="85" t="str">
        <x:v>context</x:v>
      </x:c>
      <x:c r="N187" s="85" t="str">
        <x:v>Current manuscript</x:v>
      </x:c>
      <x:c r="O187" s="85" t="str">
        <x:v>arXiv:2510.24795</x:v>
      </x:c>
      <x:c r="P187" s="85" t="str">
        <x:v>Unverified</x:v>
      </x:c>
      <x:c r="Q187" s="85" t="str"/>
      <x:c r="R187" s="85" t="str">
        <x:v>Current bibliography; prior register metadata only</x:v>
      </x:c>
      <x:c r="S187" s="85" t="str">
        <x:v>yu2025efficient</x:v>
      </x:c>
      <x:c r="T187" s="85" t="str"/>
      <x:c r="U187" s="85" t="str">
        <x:v>Supporting, survey, foundational, or methodological citation retained outside the proposed manipulation corpus.</x:v>
      </x:c>
      <x:c r="V187" s="85" t="str"/>
    </x:row>
    <x:row r="188" ht="69" customHeight="1">
      <x:c r="A188" s="85" t="str">
        <x:v>R187</x:v>
      </x:c>
      <x:c r="B188" s="85" t="str">
        <x:v>Background / other</x:v>
      </x:c>
      <x:c r="C188" s="85" t="str">
        <x:v>A Survey on Reinforcement Learning of Vision-Language-Action Models for Robotic Manipulation</x:v>
      </x:c>
      <x:c r="D188" s="91" t="n">
        <x:v>2025</x:v>
      </x:c>
      <x:c r="E188" s="85" t="str">
        <x:v>A Survey on Reinforcement Learning of Vision-Language-Action Models for Robotic Manipulation</x:v>
      </x:c>
      <x:c r="F188" s="85" t="str">
        <x:v>This survey reviews reinforcement learning for adapting pretrained VLA models to robotic manipulation. It organizes architectures, online and offline learning, deployment considerations, and evaluation within a shared training-to-deployment framework.</x:v>
      </x:c>
      <x:c r="G188" s="92" t="str">
        <x:v>https://doi.org/10.36227/techrxiv.176531955.54563920/v1</x:v>
      </x:c>
      <x:c r="H188" s="85" t="str">
        <x:v>Background</x:v>
      </x:c>
      <x:c r="I188" s="93" t="str">
        <x:v>Background</x:v>
      </x:c>
      <x:c r="J188" s="85" t="str">
        <x:v>Paper</x:v>
      </x:c>
      <x:c r="K188" s="85" t="str">
        <x:v>Survey</x:v>
      </x:c>
      <x:c r="L188" s="85" t="str"/>
      <x:c r="M188" s="85" t="str">
        <x:v>context</x:v>
      </x:c>
      <x:c r="N188" s="85" t="str">
        <x:v>Current manuscript</x:v>
      </x:c>
      <x:c r="O188" s="85" t="str">
        <x:v>doi:10.36227/techrxiv.176531955.54563920/v1</x:v>
      </x:c>
      <x:c r="P188" s="85" t="str">
        <x:v>Unverified</x:v>
      </x:c>
      <x:c r="Q188" s="85" t="str"/>
      <x:c r="R188" s="85" t="str">
        <x:v>Current bibliography; prior register metadata only</x:v>
      </x:c>
      <x:c r="S188" s="85" t="str">
        <x:v>deng2025rl</x:v>
      </x:c>
      <x:c r="T188" s="85" t="str"/>
      <x:c r="U188" s="85" t="str">
        <x:v>Supporting, survey, foundational, or methodological citation retained outside the proposed manipulation corpus.</x:v>
      </x:c>
      <x:c r="V188" s="85" t="str"/>
    </x:row>
    <x:row r="189" ht="61" customHeight="1">
      <x:c r="A189" s="85" t="str">
        <x:v>R188</x:v>
      </x:c>
      <x:c r="B189" s="85" t="str">
        <x:v>Background / other</x:v>
      </x:c>
      <x:c r="C189" s="85" t="str">
        <x:v>A Survey on Vision-Language-Action Models</x:v>
      </x:c>
      <x:c r="D189" s="91" t="n">
        <x:v>2025</x:v>
      </x:c>
      <x:c r="E189" s="85" t="str">
        <x:v>A Survey on Vision-Language-Action Models: An Action Tokenization Perspective</x:v>
      </x:c>
      <x:c r="F189" s="85" t="str">
        <x:v>This survey compares VLA systems through the intermediate representations used to express actions. Its tokenization taxonomy spans language, code, affordances, trajectories, goals, latent codes, raw actions, and reasoning.</x:v>
      </x:c>
      <x:c r="G189" s="92" t="str">
        <x:v>https://arxiv.org/abs/2507.01925</x:v>
      </x:c>
      <x:c r="H189" s="85" t="str">
        <x:v>Background</x:v>
      </x:c>
      <x:c r="I189" s="93" t="str">
        <x:v>Background</x:v>
      </x:c>
      <x:c r="J189" s="85" t="str">
        <x:v>Paper</x:v>
      </x:c>
      <x:c r="K189" s="85" t="str">
        <x:v>Survey</x:v>
      </x:c>
      <x:c r="L189" s="85" t="str"/>
      <x:c r="M189" s="85" t="str">
        <x:v>context</x:v>
      </x:c>
      <x:c r="N189" s="85" t="str">
        <x:v>Current manuscript</x:v>
      </x:c>
      <x:c r="O189" s="85" t="str">
        <x:v>arXiv:2507.01925</x:v>
      </x:c>
      <x:c r="P189" s="85" t="str">
        <x:v>Unverified</x:v>
      </x:c>
      <x:c r="Q189" s="85" t="str"/>
      <x:c r="R189" s="85" t="str">
        <x:v>Current bibliography; prior register metadata only</x:v>
      </x:c>
      <x:c r="S189" s="85" t="str">
        <x:v>zhong2025token</x:v>
      </x:c>
      <x:c r="T189" s="85" t="str"/>
      <x:c r="U189" s="85" t="str">
        <x:v>Supporting, survey, foundational, or methodological citation retained outside the proposed manipulation corpus.</x:v>
      </x:c>
      <x:c r="V189" s="85" t="str"/>
    </x:row>
    <x:row r="190" ht="97" customHeight="1">
      <x:c r="A190" s="85" t="str">
        <x:v>R189</x:v>
      </x:c>
      <x:c r="B190" s="85" t="str">
        <x:v>Background / other</x:v>
      </x:c>
      <x:c r="C190" s="85" t="str">
        <x:v>A Survey on Vision-Language-Action Models for Autonomous Driving</x:v>
      </x:c>
      <x:c r="D190" s="91" t="n">
        <x:v>2025</x:v>
      </x:c>
      <x:c r="E190" s="85" t="str">
        <x:v>A Survey on Vision-Language-Action Models for Autonomous Driving</x:v>
      </x:c>
      <x:c r="F190" s="85" t="str">
        <x:v>This survey reviews vision-language-action architectures for autonomous driving, including their progression toward reasoning-centered control. It compares vehicle-domain datasets and evaluation concerns such as safety, instruction following, and explanation quality.</x:v>
      </x:c>
      <x:c r="G190" s="92" t="str">
        <x:v>https://openaccess.thecvf.com/content/ICCV2025W/WDFM-AD/html/Jiang_A_Survey_on_Vision-Language-Action_Models_for_Autonomous_Driving_ICCVW_2025_paper.html</x:v>
      </x:c>
      <x:c r="H190" s="85" t="str">
        <x:v>Background</x:v>
      </x:c>
      <x:c r="I190" s="93" t="str">
        <x:v>Background</x:v>
      </x:c>
      <x:c r="J190" s="85" t="str">
        <x:v>Paper</x:v>
      </x:c>
      <x:c r="K190" s="85" t="str">
        <x:v>Survey</x:v>
      </x:c>
      <x:c r="L190" s="85" t="str"/>
      <x:c r="M190" s="85" t="str">
        <x:v>context</x:v>
      </x:c>
      <x:c r="N190" s="85" t="str">
        <x:v>Current manuscript</x:v>
      </x:c>
      <x:c r="O190" s="85" t="str">
        <x:v>https://openaccess.thecvf.com/content/iccv2025w/wdfm-ad/html/jiang_a_survey_on_vision-language-action_models_for_autonomous_driving_iccvw_2025_paper.html</x:v>
      </x:c>
      <x:c r="P190" s="85" t="str">
        <x:v>Unverified</x:v>
      </x:c>
      <x:c r="Q190" s="85" t="str"/>
      <x:c r="R190" s="85" t="str">
        <x:v>Current bibliography; prior register metadata only</x:v>
      </x:c>
      <x:c r="S190" s="85" t="str">
        <x:v>jiang2025driving</x:v>
      </x:c>
      <x:c r="T190" s="85" t="str"/>
      <x:c r="U190" s="85" t="str">
        <x:v>Supporting, survey, foundational, or methodological citation retained outside the proposed manipulation corpus.</x:v>
      </x:c>
      <x:c r="V190" s="85" t="str"/>
    </x:row>
    <x:row r="191" ht="61" customHeight="1">
      <x:c r="A191" s="85" t="str">
        <x:v>R190</x:v>
      </x:c>
      <x:c r="B191" s="85" t="str">
        <x:v>Background / other</x:v>
      </x:c>
      <x:c r="C191" s="85" t="str">
        <x:v>A Survey on Vision-Language-Action Models for Embodied AI</x:v>
      </x:c>
      <x:c r="D191" s="91" t="n">
        <x:v>2024</x:v>
      </x:c>
      <x:c r="E191" s="85" t="str">
        <x:v>A Survey on Vision-Language-Action Models for Embodied AI</x:v>
      </x:c>
      <x:c r="F191" s="85" t="str">
        <x:v>This survey organizes VLA research into model components, low-level control policies, and high-level task planners. It also reviews datasets, simulators, and benchmarks that support language-conditioned embodied action.</x:v>
      </x:c>
      <x:c r="G191" s="92" t="str">
        <x:v>https://arxiv.org/abs/2405.14093</x:v>
      </x:c>
      <x:c r="H191" s="85" t="str">
        <x:v>Background</x:v>
      </x:c>
      <x:c r="I191" s="93" t="str">
        <x:v>Background</x:v>
      </x:c>
      <x:c r="J191" s="85" t="str">
        <x:v>Paper</x:v>
      </x:c>
      <x:c r="K191" s="85" t="str">
        <x:v>Survey</x:v>
      </x:c>
      <x:c r="L191" s="85" t="str"/>
      <x:c r="M191" s="85" t="str">
        <x:v>context</x:v>
      </x:c>
      <x:c r="N191" s="85" t="str">
        <x:v>Current manuscript</x:v>
      </x:c>
      <x:c r="O191" s="85" t="str">
        <x:v>arXiv:2405.14093</x:v>
      </x:c>
      <x:c r="P191" s="85" t="str">
        <x:v>Unverified</x:v>
      </x:c>
      <x:c r="Q191" s="85" t="str"/>
      <x:c r="R191" s="85" t="str">
        <x:v>Current bibliography; prior register metadata only</x:v>
      </x:c>
      <x:c r="S191" s="85" t="str">
        <x:v>ma2024survey</x:v>
      </x:c>
      <x:c r="T191" s="85" t="str"/>
      <x:c r="U191" s="85" t="str">
        <x:v>Supporting, survey, foundational, or methodological citation retained outside the proposed manipulation corpus.</x:v>
      </x:c>
      <x:c r="V191" s="85" t="str">
        <x:v> Year column uses first arXiv submission (2024); cited year was 2026.</x:v>
      </x:c>
    </x:row>
    <x:row r="192" ht="61" customHeight="1">
      <x:c r="A192" s="85" t="str">
        <x:v>R191</x:v>
      </x:c>
      <x:c r="B192" s="85" t="str">
        <x:v>Background / other</x:v>
      </x:c>
      <x:c r="C192" s="85" t="str">
        <x:v>AI Models Collapse When Trained on Recursively Generated Data</x:v>
      </x:c>
      <x:c r="D192" s="91" t="n">
        <x:v>2024</x:v>
      </x:c>
      <x:c r="E192" s="85" t="str">
        <x:v>AI Models Collapse When Trained on Recursively Generated Data</x:v>
      </x:c>
      <x:c r="F192" s="85" t="str">
        <x:v>This study examines degradation when generative models are repeatedly trained on outputs from previous model generations. Its analysis motivates care in the recursive use of synthetic training data, including preservation of the original data distribution.</x:v>
      </x:c>
      <x:c r="G192" s="92" t="str">
        <x:v>https://www.nature.com/articles/s41586-024-07566-y</x:v>
      </x:c>
      <x:c r="H192" s="85" t="str">
        <x:v>Background</x:v>
      </x:c>
      <x:c r="I192" s="93" t="str">
        <x:v>Background</x:v>
      </x:c>
      <x:c r="J192" s="85" t="str">
        <x:v>Paper</x:v>
      </x:c>
      <x:c r="K192" s="85" t="str">
        <x:v>Methodology</x:v>
      </x:c>
      <x:c r="L192" s="85" t="str"/>
      <x:c r="M192" s="85" t="str">
        <x:v>context</x:v>
      </x:c>
      <x:c r="N192" s="85" t="str">
        <x:v>Current manuscript</x:v>
      </x:c>
      <x:c r="O192" s="85" t="str">
        <x:v>https://www.nature.com/articles/s41586-024-07566-y</x:v>
      </x:c>
      <x:c r="P192" s="85" t="str">
        <x:v>Unverified</x:v>
      </x:c>
      <x:c r="Q192" s="85" t="str"/>
      <x:c r="R192" s="85" t="str">
        <x:v>Current bibliography; prior register metadata only</x:v>
      </x:c>
      <x:c r="S192" s="85" t="str">
        <x:v>modelcollapse</x:v>
      </x:c>
      <x:c r="T192" s="85" t="str"/>
      <x:c r="U192" s="85" t="str">
        <x:v>Supporting, survey, foundational, or methodological citation retained outside the proposed manipulation corpus.</x:v>
      </x:c>
      <x:c r="V192" s="85" t="str"/>
    </x:row>
    <x:row r="193" ht="61" customHeight="1">
      <x:c r="A193" s="85" t="str">
        <x:v>R192</x:v>
      </x:c>
      <x:c r="B193" s="85" t="str">
        <x:v>Background / other</x:v>
      </x:c>
      <x:c r="C193" s="85" t="str">
        <x:v>Control Barrier Functions</x:v>
      </x:c>
      <x:c r="D193" s="91" t="n">
        <x:v>2019</x:v>
      </x:c>
      <x:c r="E193" s="85" t="str">
        <x:v>Control Barrier Functions: Theory and Applications</x:v>
      </x:c>
      <x:c r="F193" s="85" t="str">
        <x:v>This overview explains how control barrier functions can verify and enforce safety properties of dynamical systems. It connects the theory to optimization-based safety-critical controllers and robotic applications.</x:v>
      </x:c>
      <x:c r="G193" s="92" t="str">
        <x:v>https://arxiv.org/abs/1903.11199</x:v>
      </x:c>
      <x:c r="H193" s="85" t="str">
        <x:v>Background</x:v>
      </x:c>
      <x:c r="I193" s="93" t="str">
        <x:v>Background</x:v>
      </x:c>
      <x:c r="J193" s="85" t="str">
        <x:v>Paper</x:v>
      </x:c>
      <x:c r="K193" s="85" t="str">
        <x:v>Planning/control context</x:v>
      </x:c>
      <x:c r="L193" s="85" t="str"/>
      <x:c r="M193" s="85" t="str">
        <x:v>context</x:v>
      </x:c>
      <x:c r="N193" s="85" t="str">
        <x:v>Current manuscript</x:v>
      </x:c>
      <x:c r="O193" s="85" t="str">
        <x:v>arXiv:1903.11199</x:v>
      </x:c>
      <x:c r="P193" s="85" t="str">
        <x:v>Unverified</x:v>
      </x:c>
      <x:c r="Q193" s="85" t="str"/>
      <x:c r="R193" s="85" t="str">
        <x:v>Current bibliography; prior register metadata only</x:v>
      </x:c>
      <x:c r="S193" s="85" t="str">
        <x:v>cbf</x:v>
      </x:c>
      <x:c r="T193" s="85" t="str"/>
      <x:c r="U193" s="85" t="str">
        <x:v>Supporting, survey, foundational, or methodological citation retained outside the proposed manipulation corpus.</x:v>
      </x:c>
      <x:c r="V193" s="85" t="str">
        <x:v>Foundational control survey/tutorial, not a review-methodology reporting guideline.</x:v>
      </x:c>
    </x:row>
    <x:row r="194" ht="61" customHeight="1">
      <x:c r="A194" s="85" t="str">
        <x:v>R193</x:v>
      </x:c>
      <x:c r="B194" s="85" t="str">
        <x:v>Background / other</x:v>
      </x:c>
      <x:c r="C194" s="85" t="str">
        <x:v>Embodied AI</x:v>
      </x:c>
      <x:c r="D194" s="91" t="n">
        <x:v>2025</x:v>
      </x:c>
      <x:c r="E194" s="85" t="str">
        <x:v>Embodied AI: From LLMs to World Models</x:v>
      </x:c>
      <x:c r="F194" s="85" t="str">
        <x:v>This review contrasts the semantic reasoning provided by language models with the predictive capabilities of world models in embodied AI. It argues for combining these capabilities and surveys supporting technologies, hardware, and applications.</x:v>
      </x:c>
      <x:c r="G194" s="92" t="str">
        <x:v>https://arxiv.org/abs/2509.20021</x:v>
      </x:c>
      <x:c r="H194" s="85" t="str">
        <x:v>Background</x:v>
      </x:c>
      <x:c r="I194" s="93" t="str">
        <x:v>Background</x:v>
      </x:c>
      <x:c r="J194" s="85" t="str">
        <x:v>Paper</x:v>
      </x:c>
      <x:c r="K194" s="85" t="str">
        <x:v>Survey</x:v>
      </x:c>
      <x:c r="L194" s="85" t="str"/>
      <x:c r="M194" s="85" t="str">
        <x:v>context</x:v>
      </x:c>
      <x:c r="N194" s="85" t="str">
        <x:v>Current manuscript</x:v>
      </x:c>
      <x:c r="O194" s="85" t="str">
        <x:v>arXiv:2509.20021</x:v>
      </x:c>
      <x:c r="P194" s="85" t="str">
        <x:v>Unverified</x:v>
      </x:c>
      <x:c r="Q194" s="85" t="str"/>
      <x:c r="R194" s="85" t="str">
        <x:v>Current bibliography; prior register metadata only</x:v>
      </x:c>
      <x:c r="S194" s="85" t="str">
        <x:v>feng2025</x:v>
      </x:c>
      <x:c r="T194" s="85" t="str"/>
      <x:c r="U194" s="85" t="str">
        <x:v>Supporting, survey, foundational, or methodological citation retained outside the proposed manipulation corpus.</x:v>
      </x:c>
      <x:c r="V194" s="85" t="str"/>
    </x:row>
    <x:row r="195" ht="61" customHeight="1">
      <x:c r="A195" s="85" t="str">
        <x:v>R194</x:v>
      </x:c>
      <x:c r="B195" s="85" t="str">
        <x:v>Background / other</x:v>
      </x:c>
      <x:c r="C195" s="85" t="str">
        <x:v>Generative Artificial Intelligence in Robotic Manipulation</x:v>
      </x:c>
      <x:c r="D195" s="91" t="n">
        <x:v>2025</x:v>
      </x:c>
      <x:c r="E195" s="85" t="str">
        <x:v>Generative Artificial Intelligence in Robotic Manipulation: A Survey</x:v>
      </x:c>
      <x:c r="F195" s="85" t="str">
        <x:v>This survey reviews generative models used for robotic data, rewards, intermediate plans, and control outputs. Its layered taxonomy relates data generation and task reasoning to grasp and trajectory generation.</x:v>
      </x:c>
      <x:c r="G195" s="92" t="str">
        <x:v>https://arxiv.org/abs/2503.03464</x:v>
      </x:c>
      <x:c r="H195" s="85" t="str">
        <x:v>Background</x:v>
      </x:c>
      <x:c r="I195" s="93" t="str">
        <x:v>Background</x:v>
      </x:c>
      <x:c r="J195" s="85" t="str">
        <x:v>Paper</x:v>
      </x:c>
      <x:c r="K195" s="85" t="str">
        <x:v>Survey</x:v>
      </x:c>
      <x:c r="L195" s="85" t="str"/>
      <x:c r="M195" s="85" t="str">
        <x:v>context</x:v>
      </x:c>
      <x:c r="N195" s="85" t="str">
        <x:v>Current manuscript</x:v>
      </x:c>
      <x:c r="O195" s="85" t="str">
        <x:v>arXiv:2503.03464</x:v>
      </x:c>
      <x:c r="P195" s="85" t="str">
        <x:v>Unverified</x:v>
      </x:c>
      <x:c r="Q195" s="85" t="str"/>
      <x:c r="R195" s="85" t="str">
        <x:v>Current bibliography; prior register metadata only</x:v>
      </x:c>
      <x:c r="S195" s="85" t="str">
        <x:v>zhang2025generative</x:v>
      </x:c>
      <x:c r="T195" s="85" t="str"/>
      <x:c r="U195" s="85" t="str">
        <x:v>Supporting, survey, foundational, or methodological citation retained outside the proposed manipulation corpus.</x:v>
      </x:c>
      <x:c r="V195" s="85" t="str"/>
    </x:row>
    <x:row r="196" ht="61" customHeight="1">
      <x:c r="A196" s="85" t="str">
        <x:v>R195</x:v>
      </x:c>
      <x:c r="B196" s="85" t="str">
        <x:v>Background / other</x:v>
      </x:c>
      <x:c r="C196" s="85" t="str">
        <x:v>Hamilton--Jacobi Reachability</x:v>
      </x:c>
      <x:c r="D196" s="91" t="n">
        <x:v>2017</x:v>
      </x:c>
      <x:c r="E196" s="85" t="str">
        <x:v>Hamilton--Jacobi Reachability: A Brief Overview and Recent Advances</x:v>
      </x:c>
      <x:c r="F196" s="85" t="str">
        <x:v>This tutorial reviews Hamilton-Jacobi reachability for analyzing safety and performance of nonlinear dynamical systems with bounded disturbances. It also discusses numerical tools and approaches to the computational difficulty of high-dimensional systems.</x:v>
      </x:c>
      <x:c r="G196" s="92" t="str">
        <x:v>https://arxiv.org/abs/1709.07523</x:v>
      </x:c>
      <x:c r="H196" s="85" t="str">
        <x:v>Background</x:v>
      </x:c>
      <x:c r="I196" s="93" t="str">
        <x:v>Background</x:v>
      </x:c>
      <x:c r="J196" s="85" t="str">
        <x:v>Paper</x:v>
      </x:c>
      <x:c r="K196" s="85" t="str">
        <x:v>Planning/control context</x:v>
      </x:c>
      <x:c r="L196" s="85" t="str"/>
      <x:c r="M196" s="85" t="str">
        <x:v>context</x:v>
      </x:c>
      <x:c r="N196" s="85" t="str">
        <x:v>Current manuscript</x:v>
      </x:c>
      <x:c r="O196" s="85" t="str">
        <x:v>arXiv:1709.07523</x:v>
      </x:c>
      <x:c r="P196" s="85" t="str">
        <x:v>Unverified</x:v>
      </x:c>
      <x:c r="Q196" s="85" t="str"/>
      <x:c r="R196" s="85" t="str">
        <x:v>Current bibliography; prior register metadata only</x:v>
      </x:c>
      <x:c r="S196" s="85" t="str">
        <x:v>hjreach</x:v>
      </x:c>
      <x:c r="T196" s="85" t="str"/>
      <x:c r="U196" s="85" t="str">
        <x:v>Supporting, survey, foundational, or methodological citation retained outside the proposed manipulation corpus.</x:v>
      </x:c>
      <x:c r="V196" s="85" t="str">
        <x:v>Foundational control survey/tutorial, not a review-methodology reporting guideline.</x:v>
      </x:c>
    </x:row>
    <x:row r="197" ht="61" customHeight="1">
      <x:c r="A197" s="85" t="str">
        <x:v>R196</x:v>
      </x:c>
      <x:c r="B197" s="85" t="str">
        <x:v>Background / other</x:v>
      </x:c>
      <x:c r="C197" s="85" t="str">
        <x:v>Large VLM-Based Vision-Language-Action Models for Robotic Manipulation</x:v>
      </x:c>
      <x:c r="D197" s="91" t="n">
        <x:v>2025</x:v>
      </x:c>
      <x:c r="E197" s="85" t="str">
        <x:v>Large VLM-Based Vision-Language-Action Models for Robotic Manipulation: A Survey</x:v>
      </x:c>
      <x:c r="F197" s="85" t="str">
        <x:v>This survey focuses on manipulation policies built on large pretrained vision-language models. It distinguishes monolithic and hierarchical architectures and reviews connections with reinforcement learning, human video, and world models.</x:v>
      </x:c>
      <x:c r="G197" s="92" t="str">
        <x:v>https://arxiv.org/abs/2508.13073</x:v>
      </x:c>
      <x:c r="H197" s="85" t="str">
        <x:v>Background</x:v>
      </x:c>
      <x:c r="I197" s="93" t="str">
        <x:v>Background</x:v>
      </x:c>
      <x:c r="J197" s="85" t="str">
        <x:v>Paper</x:v>
      </x:c>
      <x:c r="K197" s="85" t="str">
        <x:v>Survey</x:v>
      </x:c>
      <x:c r="L197" s="85" t="str"/>
      <x:c r="M197" s="85" t="str">
        <x:v>context</x:v>
      </x:c>
      <x:c r="N197" s="85" t="str">
        <x:v>Current manuscript</x:v>
      </x:c>
      <x:c r="O197" s="85" t="str">
        <x:v>arXiv:2508.13073</x:v>
      </x:c>
      <x:c r="P197" s="85" t="str">
        <x:v>Unverified</x:v>
      </x:c>
      <x:c r="Q197" s="85" t="str"/>
      <x:c r="R197" s="85" t="str">
        <x:v>Current bibliography; prior register metadata only</x:v>
      </x:c>
      <x:c r="S197" s="85" t="str">
        <x:v>shao2025</x:v>
      </x:c>
      <x:c r="T197" s="85" t="str"/>
      <x:c r="U197" s="85" t="str">
        <x:v>Supporting, survey, foundational, or methodological citation retained outside the proposed manipulation corpus.</x:v>
      </x:c>
      <x:c r="V197" s="85" t="str"/>
    </x:row>
    <x:row r="198" ht="61" customHeight="1">
      <x:c r="A198" s="85" t="str">
        <x:v>R197</x:v>
      </x:c>
      <x:c r="B198" s="85" t="str">
        <x:v>Background / other</x:v>
      </x:c>
      <x:c r="C198" s="85" t="str">
        <x:v>Multimodal Fusion with Vision-Language-Action Models for Robotic Manipulation</x:v>
      </x:c>
      <x:c r="D198" s="91" t="n">
        <x:v>2026</x:v>
      </x:c>
      <x:c r="E198" s="85" t="str">
        <x:v>Multimodal Fusion with Vision-Language-Action Models for Robotic Manipulation: A Systematic Review</x:v>
      </x:c>
      <x:c r="F198" s="85" t="str">
        <x:v>This systematic review organizes manipulation VLAs by multimodal fusion strategies, architectures, datasets, and evaluation resources. It also develops an agentic outlook in which planners use VLA skills with verification and diagnostic feedback.</x:v>
      </x:c>
      <x:c r="G198" s="92" t="str">
        <x:v>https://doi.org/10.1016/j.inffus.2025.104062</x:v>
      </x:c>
      <x:c r="H198" s="85" t="str">
        <x:v>Background</x:v>
      </x:c>
      <x:c r="I198" s="93" t="str">
        <x:v>Background</x:v>
      </x:c>
      <x:c r="J198" s="85" t="str">
        <x:v>Paper</x:v>
      </x:c>
      <x:c r="K198" s="85" t="str">
        <x:v>Survey</x:v>
      </x:c>
      <x:c r="L198" s="85" t="str"/>
      <x:c r="M198" s="85" t="str">
        <x:v>context</x:v>
      </x:c>
      <x:c r="N198" s="85" t="str">
        <x:v>Current manuscript</x:v>
      </x:c>
      <x:c r="O198" s="85" t="str">
        <x:v>doi:10.1016/j.inffus.2025.104062</x:v>
      </x:c>
      <x:c r="P198" s="85" t="str">
        <x:v>Unverified</x:v>
      </x:c>
      <x:c r="Q198" s="85" t="str"/>
      <x:c r="R198" s="85" t="str">
        <x:v>Current bibliography; prior register metadata only</x:v>
      </x:c>
      <x:c r="S198" s="85" t="str">
        <x:v>din2025priorvlasurvey</x:v>
      </x:c>
      <x:c r="T198" s="85" t="str"/>
      <x:c r="U198" s="85" t="str">
        <x:v>Supporting, survey, foundational, or methodological citation retained outside the proposed manipulation corpus.</x:v>
      </x:c>
      <x:c r="V198" s="85" t="str"/>
    </x:row>
    <x:row r="199" ht="61" customHeight="1">
      <x:c r="A199" s="85" t="str">
        <x:v>R198</x:v>
      </x:c>
      <x:c r="B199" s="85" t="str">
        <x:v>Background / other</x:v>
      </x:c>
      <x:c r="C199" s="85" t="str">
        <x:v>Pure Vision Language Action (VLA) Models</x:v>
      </x:c>
      <x:c r="D199" s="91" t="n">
        <x:v>2025</x:v>
      </x:c>
      <x:c r="E199" s="85" t="str">
        <x:v>Pure Vision Language Action (VLA) Models: A Comprehensive Survey</x:v>
      </x:c>
      <x:c r="F199" s="85" t="str">
        <x:v>This survey classifies VLA methods into autoregressive, diffusion, reinforcement-learning, hybrid, and specialized approaches. It connects these design choices to application scenarios, datasets, benchmarks, and simulators.</x:v>
      </x:c>
      <x:c r="G199" s="92" t="str">
        <x:v>https://arxiv.org/abs/2509.19012</x:v>
      </x:c>
      <x:c r="H199" s="85" t="str">
        <x:v>Background</x:v>
      </x:c>
      <x:c r="I199" s="93" t="str">
        <x:v>Background</x:v>
      </x:c>
      <x:c r="J199" s="85" t="str">
        <x:v>Paper</x:v>
      </x:c>
      <x:c r="K199" s="85" t="str">
        <x:v>Survey</x:v>
      </x:c>
      <x:c r="L199" s="85" t="str"/>
      <x:c r="M199" s="85" t="str">
        <x:v>context</x:v>
      </x:c>
      <x:c r="N199" s="85" t="str">
        <x:v>Current manuscript</x:v>
      </x:c>
      <x:c r="O199" s="85" t="str">
        <x:v>arXiv:2509.19012</x:v>
      </x:c>
      <x:c r="P199" s="85" t="str">
        <x:v>Unverified</x:v>
      </x:c>
      <x:c r="Q199" s="85" t="str"/>
      <x:c r="R199" s="85" t="str">
        <x:v>Current bibliography; prior register metadata only</x:v>
      </x:c>
      <x:c r="S199" s="85" t="str">
        <x:v>zhang2025pure</x:v>
      </x:c>
      <x:c r="T199" s="85" t="str"/>
      <x:c r="U199" s="85" t="str">
        <x:v>Supporting, survey, foundational, or methodological citation retained outside the proposed manipulation corpus.</x:v>
      </x:c>
      <x:c r="V199" s="85" t="str"/>
    </x:row>
    <x:row r="200" ht="61" customHeight="1">
      <x:c r="A200" s="85" t="str">
        <x:v>R199</x:v>
      </x:c>
      <x:c r="B200" s="85" t="str">
        <x:v>Background / other</x:v>
      </x:c>
      <x:c r="C200" s="85" t="str">
        <x:v>Robots That Ask For Help</x:v>
      </x:c>
      <x:c r="D200" s="91" t="n">
        <x:v>2023</x:v>
      </x:c>
      <x:c r="E200" s="85" t="str">
        <x:v>Robots That Ask For Help: Uncertainty Alignment for Large Language Model Planners</x:v>
      </x:c>
      <x:c r="F200" s="85" t="str">
        <x:v>KnowNo uses conformal prediction to calibrate uncertainty in language-model planning. The framework uses this uncertainty to determine when a robot should request human assistance.</x:v>
      </x:c>
      <x:c r="G200" s="92" t="str">
        <x:v>https://arxiv.org/abs/2307.01928</x:v>
      </x:c>
      <x:c r="H200" s="85" t="str">
        <x:v>Background</x:v>
      </x:c>
      <x:c r="I200" s="93" t="str">
        <x:v>Background</x:v>
      </x:c>
      <x:c r="J200" s="85" t="str">
        <x:v>Paper</x:v>
      </x:c>
      <x:c r="K200" s="85" t="str">
        <x:v>Planning/control context</x:v>
      </x:c>
      <x:c r="L200" s="85" t="str"/>
      <x:c r="M200" s="85" t="str">
        <x:v>context</x:v>
      </x:c>
      <x:c r="N200" s="85" t="str">
        <x:v>Current manuscript</x:v>
      </x:c>
      <x:c r="O200" s="85" t="str">
        <x:v>arXiv:2307.01928</x:v>
      </x:c>
      <x:c r="P200" s="85" t="str">
        <x:v>Unverified</x:v>
      </x:c>
      <x:c r="Q200" s="85" t="str"/>
      <x:c r="R200" s="85" t="str">
        <x:v>Current bibliography; prior register metadata only</x:v>
      </x:c>
      <x:c r="S200" s="85" t="str">
        <x:v>knowno</x:v>
      </x:c>
      <x:c r="T200" s="85" t="str"/>
      <x:c r="U200" s="85" t="str">
        <x:v>Supporting, survey, foundational, or methodological citation retained outside the proposed manipulation corpus.</x:v>
      </x:c>
      <x:c r="V200" s="85" t="str"/>
    </x:row>
    <x:row r="201" ht="61" customHeight="1">
      <x:c r="A201" s="85" t="str">
        <x:v>R200</x:v>
      </x:c>
      <x:c r="B201" s="85" t="str">
        <x:v>Background / other</x:v>
      </x:c>
      <x:c r="C201" s="85" t="str">
        <x:v>The PRISMA 2020 Statement</x:v>
      </x:c>
      <x:c r="D201" s="91" t="n">
        <x:v>2021</x:v>
      </x:c>
      <x:c r="E201" s="85" t="str">
        <x:v>The PRISMA 2020 Statement: An Updated Guideline for Reporting Systematic Reviews</x:v>
      </x:c>
      <x:c r="F201" s="85" t="str">
        <x:v>The PRISMA 2020 statement provides reporting guidance for systematic reviews through checklists and flow-diagram templates. It supports transparent reporting of searches, selection, synthesis, and limitations rather than certifying that a review was conducted correctly.</x:v>
      </x:c>
      <x:c r="G201" s="92" t="str">
        <x:v>https://doi.org/10.1136/bmj.n71</x:v>
      </x:c>
      <x:c r="H201" s="85" t="str">
        <x:v>Background</x:v>
      </x:c>
      <x:c r="I201" s="93" t="str">
        <x:v>Background</x:v>
      </x:c>
      <x:c r="J201" s="85" t="str">
        <x:v>Paper</x:v>
      </x:c>
      <x:c r="K201" s="85" t="str">
        <x:v>Methodology</x:v>
      </x:c>
      <x:c r="L201" s="85" t="str"/>
      <x:c r="M201" s="85" t="str">
        <x:v>context</x:v>
      </x:c>
      <x:c r="N201" s="85" t="str">
        <x:v>Current manuscript</x:v>
      </x:c>
      <x:c r="O201" s="85" t="str">
        <x:v>doi:10.1136/bmj.n71</x:v>
      </x:c>
      <x:c r="P201" s="85" t="str">
        <x:v>Unverified</x:v>
      </x:c>
      <x:c r="Q201" s="85" t="str"/>
      <x:c r="R201" s="85" t="str">
        <x:v>Current bibliography; prior register metadata only</x:v>
      </x:c>
      <x:c r="S201" s="85" t="str">
        <x:v>prisma2020</x:v>
      </x:c>
      <x:c r="T201" s="85" t="str"/>
      <x:c r="U201" s="85" t="str">
        <x:v>Supporting, survey, foundational, or methodological citation retained outside the proposed manipulation corpus.</x:v>
      </x:c>
      <x:c r="V201" s="85" t="str"/>
    </x:row>
    <x:row r="202" ht="61" customHeight="1">
      <x:c r="A202" s="85" t="str">
        <x:v>R201</x:v>
      </x:c>
      <x:c r="B202" s="85" t="str">
        <x:v>Background / other</x:v>
      </x:c>
      <x:c r="C202" s="85" t="str">
        <x:v>Understanding World or Predicting Future? A Comprehensive Survey of World Models</x:v>
      </x:c>
      <x:c r="D202" s="91" t="n">
        <x:v>2025</x:v>
      </x:c>
      <x:c r="E202" s="85" t="str">
        <x:v>Understanding World or Predicting Future? A Comprehensive Survey of World Models</x:v>
      </x:c>
      <x:c r="F202" s="85" t="str">
        <x:v>This survey distinguishes world models that construct internal representations from those that simulate future states. It reviews these roles across robotics, autonomous driving, and other domains and identifies open modeling challenges.</x:v>
      </x:c>
      <x:c r="G202" s="92" t="str">
        <x:v>https://doi.org/10.1145/3746449</x:v>
      </x:c>
      <x:c r="H202" s="85" t="str">
        <x:v>Background</x:v>
      </x:c>
      <x:c r="I202" s="93" t="str">
        <x:v>Background</x:v>
      </x:c>
      <x:c r="J202" s="85" t="str">
        <x:v>Paper</x:v>
      </x:c>
      <x:c r="K202" s="85" t="str">
        <x:v>Survey</x:v>
      </x:c>
      <x:c r="L202" s="85" t="str"/>
      <x:c r="M202" s="85" t="str">
        <x:v>context</x:v>
      </x:c>
      <x:c r="N202" s="85" t="str">
        <x:v>Current manuscript</x:v>
      </x:c>
      <x:c r="O202" s="85" t="str">
        <x:v>doi:10.1145/3746449</x:v>
      </x:c>
      <x:c r="P202" s="85" t="str">
        <x:v>Unverified</x:v>
      </x:c>
      <x:c r="Q202" s="85" t="str"/>
      <x:c r="R202" s="85" t="str">
        <x:v>Current bibliography; prior register metadata only</x:v>
      </x:c>
      <x:c r="S202" s="85" t="str">
        <x:v>ding2025worldsurvey</x:v>
      </x:c>
      <x:c r="T202" s="85" t="str"/>
      <x:c r="U202" s="85" t="str">
        <x:v>Supporting, survey, foundational, or methodological citation retained outside the proposed manipulation corpus.</x:v>
      </x:c>
      <x:c r="V202" s="85" t="str"/>
    </x:row>
    <x:row r="203" ht="61" customHeight="1">
      <x:c r="A203" s="85" t="str">
        <x:v>R202</x:v>
      </x:c>
      <x:c r="B203" s="85" t="str">
        <x:v>Background / other</x:v>
      </x:c>
      <x:c r="C203" s="85" t="str">
        <x:v>Vision-Language-Action Models</x:v>
      </x:c>
      <x:c r="D203" s="91" t="n">
        <x:v>2025</x:v>
      </x:c>
      <x:c r="E203" s="85" t="str">
        <x:v>Vision-Language-Action Models: Concepts, Progress, Applications and Challenges</x:v>
      </x:c>
      <x:c r="F203" s="85" t="str">
        <x:v>This review introduces VLA concepts and surveys architectures, training strategies, and inference methods. It examines applications across robotic domains and discusses adaptation and cross-embodiment planning challenges.</x:v>
      </x:c>
      <x:c r="G203" s="92" t="str">
        <x:v>https://arxiv.org/abs/2505.04769</x:v>
      </x:c>
      <x:c r="H203" s="85" t="str">
        <x:v>Background</x:v>
      </x:c>
      <x:c r="I203" s="93" t="str">
        <x:v>Background</x:v>
      </x:c>
      <x:c r="J203" s="85" t="str">
        <x:v>Paper</x:v>
      </x:c>
      <x:c r="K203" s="85" t="str">
        <x:v>Survey</x:v>
      </x:c>
      <x:c r="L203" s="85" t="str"/>
      <x:c r="M203" s="85" t="str">
        <x:v>context</x:v>
      </x:c>
      <x:c r="N203" s="85" t="str">
        <x:v>Current manuscript</x:v>
      </x:c>
      <x:c r="O203" s="85" t="str">
        <x:v>arXiv:2505.04769</x:v>
      </x:c>
      <x:c r="P203" s="85" t="str">
        <x:v>Unverified</x:v>
      </x:c>
      <x:c r="Q203" s="85" t="str"/>
      <x:c r="R203" s="85" t="str">
        <x:v>Current bibliography; prior register metadata only</x:v>
      </x:c>
      <x:c r="S203" s="85" t="str">
        <x:v>sapkota2025</x:v>
      </x:c>
      <x:c r="T203" s="85" t="str"/>
      <x:c r="U203" s="85" t="str">
        <x:v>Supporting, survey, foundational, or methodological citation retained outside the proposed manipulation corpus.</x:v>
      </x:c>
      <x:c r="V203" s="85" t="str"/>
    </x:row>
    <x:row r="204" ht="61" customHeight="1">
      <x:c r="A204" s="85" t="str">
        <x:v>R203</x:v>
      </x:c>
      <x:c r="B204" s="85" t="str">
        <x:v>Background / other</x:v>
      </x:c>
      <x:c r="C204" s="85" t="str">
        <x:v>Vision-Language-Action Models for Robotics</x:v>
      </x:c>
      <x:c r="D204" s="91" t="n">
        <x:v>2025</x:v>
      </x:c>
      <x:c r="E204" s="85" t="str">
        <x:v>Vision-Language-Action Models for Robotics: A Review Towards Real-World Applications</x:v>
      </x:c>
      <x:c r="F204" s="85" t="str">
        <x:v>This review connects VLA architectures and learning methods with the practical requirements of robot deployment. It covers hardware platforms, data collection, augmentation, datasets, and evaluation alongside model design.</x:v>
      </x:c>
      <x:c r="G204" s="92" t="str">
        <x:v>https://arxiv.org/abs/2510.07077</x:v>
      </x:c>
      <x:c r="H204" s="85" t="str">
        <x:v>Background</x:v>
      </x:c>
      <x:c r="I204" s="93" t="str">
        <x:v>Background</x:v>
      </x:c>
      <x:c r="J204" s="85" t="str">
        <x:v>Paper</x:v>
      </x:c>
      <x:c r="K204" s="85" t="str">
        <x:v>Survey</x:v>
      </x:c>
      <x:c r="L204" s="85" t="str"/>
      <x:c r="M204" s="85" t="str">
        <x:v>context</x:v>
      </x:c>
      <x:c r="N204" s="85" t="str">
        <x:v>Current manuscript</x:v>
      </x:c>
      <x:c r="O204" s="85" t="str">
        <x:v>arXiv:2510.07077</x:v>
      </x:c>
      <x:c r="P204" s="85" t="str">
        <x:v>Unverified</x:v>
      </x:c>
      <x:c r="Q204" s="85" t="str"/>
      <x:c r="R204" s="85" t="str">
        <x:v>Current bibliography; prior register metadata only</x:v>
      </x:c>
      <x:c r="S204" s="85" t="str">
        <x:v>kawaharazuka2025</x:v>
      </x:c>
      <x:c r="T204" s="85" t="str"/>
      <x:c r="U204" s="85" t="str">
        <x:v>Supporting, survey, foundational, or methodological citation retained outside the proposed manipulation corpus.</x:v>
      </x:c>
      <x:c r="V204" s="85" t="str"/>
    </x:row>
    <x:row r="205" ht="61" customHeight="1">
      <x:c r="A205" s="85" t="str">
        <x:v>R204</x:v>
      </x:c>
      <x:c r="B205" s="85" t="str">
        <x:v>Background / other</x:v>
      </x:c>
      <x:c r="C205" s="85" t="str">
        <x:v>World Action Models</x:v>
      </x:c>
      <x:c r="D205" s="91" t="n">
        <x:v>2026</x:v>
      </x:c>
      <x:c r="E205" s="85" t="str">
        <x:v>World Action Models: The Next Frontier in Embodied AI</x:v>
      </x:c>
      <x:c r="F205" s="85" t="str">
        <x:v>This survey describes world-action models as systems that combine predictive state modeling with action generation. It distinguishes cascaded and joint architectures and reviews their data requirements and evaluation dimensions.</x:v>
      </x:c>
      <x:c r="G205" s="92" t="str">
        <x:v>https://arxiv.org/abs/2605.12090</x:v>
      </x:c>
      <x:c r="H205" s="85" t="str">
        <x:v>Background</x:v>
      </x:c>
      <x:c r="I205" s="93" t="str">
        <x:v>Background</x:v>
      </x:c>
      <x:c r="J205" s="85" t="str">
        <x:v>Paper</x:v>
      </x:c>
      <x:c r="K205" s="85" t="str">
        <x:v>Survey</x:v>
      </x:c>
      <x:c r="L205" s="85" t="str"/>
      <x:c r="M205" s="85" t="str">
        <x:v>context</x:v>
      </x:c>
      <x:c r="N205" s="85" t="str">
        <x:v>Current manuscript</x:v>
      </x:c>
      <x:c r="O205" s="85" t="str">
        <x:v>arXiv:2605.12090</x:v>
      </x:c>
      <x:c r="P205" s="85" t="str">
        <x:v>Unverified</x:v>
      </x:c>
      <x:c r="Q205" s="85" t="str"/>
      <x:c r="R205" s="85" t="str">
        <x:v>Current bibliography; prior register metadata only</x:v>
      </x:c>
      <x:c r="S205" s="85" t="str">
        <x:v>wamfrontier</x:v>
      </x:c>
      <x:c r="T205" s="85" t="str"/>
      <x:c r="U205" s="85" t="str">
        <x:v>Supporting, survey, foundational, or methodological citation retained outside the proposed manipulation corpus.</x:v>
      </x:c>
      <x:c r="V205" s="85" t="str"/>
    </x:row>
    <x:row r="206" ht="61" customHeight="1">
      <x:c r="A206" s="85" t="str">
        <x:v>R205</x:v>
      </x:c>
      <x:c r="B206" s="85" t="str">
        <x:v>Background / other</x:v>
      </x:c>
      <x:c r="C206" s="85" t="str">
        <x:v>World Action Models</x:v>
      </x:c>
      <x:c r="D206" s="91" t="n">
        <x:v>2026</x:v>
      </x:c>
      <x:c r="E206" s="85" t="str">
        <x:v>World Action Models: A Survey</x:v>
      </x:c>
      <x:c r="F206" s="85" t="str">
        <x:v>This survey distinguishes world-action models by the futures they generate and how prediction is connected to actions. It compares predictive representations, backbones, deployment modes, and the trade-offs between forecast detail and control cost.</x:v>
      </x:c>
      <x:c r="G206" s="92" t="str">
        <x:v>https://arxiv.org/abs/2606.20781</x:v>
      </x:c>
      <x:c r="H206" s="85" t="str">
        <x:v>Background</x:v>
      </x:c>
      <x:c r="I206" s="93" t="str">
        <x:v>Background</x:v>
      </x:c>
      <x:c r="J206" s="85" t="str">
        <x:v>Paper</x:v>
      </x:c>
      <x:c r="K206" s="85" t="str">
        <x:v>Survey</x:v>
      </x:c>
      <x:c r="L206" s="85" t="str"/>
      <x:c r="M206" s="85" t="str">
        <x:v>context</x:v>
      </x:c>
      <x:c r="N206" s="85" t="str">
        <x:v>Current manuscript</x:v>
      </x:c>
      <x:c r="O206" s="85" t="str">
        <x:v>arXiv:2606.20781</x:v>
      </x:c>
      <x:c r="P206" s="85" t="str">
        <x:v>Unverified</x:v>
      </x:c>
      <x:c r="Q206" s="85" t="str"/>
      <x:c r="R206" s="85" t="str">
        <x:v>Current bibliography; prior register metadata only</x:v>
      </x:c>
      <x:c r="S206" s="85" t="str">
        <x:v>wamsurvey</x:v>
      </x:c>
      <x:c r="T206" s="85" t="str"/>
      <x:c r="U206" s="85" t="str">
        <x:v>Supporting, survey, foundational, or methodological citation retained outside the proposed manipulation corpus.</x:v>
      </x:c>
      <x:c r="V206" s="85" t="str"/>
    </x:row>
    <x:row r="207" ht="61" customHeight="1">
      <x:c r="A207" s="85" t="str">
        <x:v>R206</x:v>
      </x:c>
      <x:c r="B207" s="85" t="str">
        <x:v>Background / other</x:v>
      </x:c>
      <x:c r="C207" s="85" t="str">
        <x:v>World Model for Robot Learning</x:v>
      </x:c>
      <x:c r="D207" s="91" t="n">
        <x:v>2026</x:v>
      </x:c>
      <x:c r="E207" s="85" t="str">
        <x:v>World Model for Robot Learning: A Comprehensive Survey</x:v>
      </x:c>
      <x:c r="F207" s="85" t="str">
        <x:v>This survey reviews world models according to their roles in robot-policy learning, planning, simulation, data generation, and evaluation. It relates policy coupling and controllable video prediction to datasets and experimental protocols across embodied domains.</x:v>
      </x:c>
      <x:c r="G207" s="92" t="str">
        <x:v>https://arxiv.org/abs/2605.00080</x:v>
      </x:c>
      <x:c r="H207" s="85" t="str">
        <x:v>Background</x:v>
      </x:c>
      <x:c r="I207" s="93" t="str">
        <x:v>Background</x:v>
      </x:c>
      <x:c r="J207" s="85" t="str">
        <x:v>Paper</x:v>
      </x:c>
      <x:c r="K207" s="85" t="str">
        <x:v>Survey</x:v>
      </x:c>
      <x:c r="L207" s="85" t="str"/>
      <x:c r="M207" s="85" t="str">
        <x:v>context</x:v>
      </x:c>
      <x:c r="N207" s="85" t="str">
        <x:v>Current manuscript</x:v>
      </x:c>
      <x:c r="O207" s="85" t="str">
        <x:v>arXiv:2605.00080</x:v>
      </x:c>
      <x:c r="P207" s="85" t="str">
        <x:v>Unverified</x:v>
      </x:c>
      <x:c r="Q207" s="85" t="str"/>
      <x:c r="R207" s="85" t="str">
        <x:v>Current bibliography; prior register metadata only</x:v>
      </x:c>
      <x:c r="S207" s="85" t="str">
        <x:v>hou2026wm</x:v>
      </x:c>
      <x:c r="T207" s="85" t="str"/>
      <x:c r="U207" s="85" t="str">
        <x:v>Supporting, survey, foundational, or methodological citation retained outside the proposed manipulation corpus.</x:v>
      </x:c>
      <x:c r="V207" s="85" t="str"/>
    </x:row>
    <x:row r="208" ht="61" customHeight="1">
      <x:c r="A208" s="85" t="str">
        <x:v>R207</x:v>
      </x:c>
      <x:c r="B208" s="85" t="str">
        <x:v>Background / other</x:v>
      </x:c>
      <x:c r="C208" s="85" t="str">
        <x:v>World Models for Robotic Manipulation</x:v>
      </x:c>
      <x:c r="D208" s="91" t="n">
        <x:v>2026</x:v>
      </x:c>
      <x:c r="E208" s="85" t="str">
        <x:v>World Models for Robotic Manipulation: A Survey</x:v>
      </x:c>
      <x:c r="F208" s="85" t="str">
        <x:v>This manipulation-focused survey separates predicted representations, action coupling, and the stage at which prediction is used. It distinguishes integrated prediction-action systems from explicit planners and examines evaluation of predictive fidelity and control utility.</x:v>
      </x:c>
      <x:c r="G208" s="92" t="str">
        <x:v>https://arxiv.org/abs/2606.00113</x:v>
      </x:c>
      <x:c r="H208" s="85" t="str">
        <x:v>Background</x:v>
      </x:c>
      <x:c r="I208" s="93" t="str">
        <x:v>Background</x:v>
      </x:c>
      <x:c r="J208" s="85" t="str">
        <x:v>Paper</x:v>
      </x:c>
      <x:c r="K208" s="85" t="str">
        <x:v>Survey</x:v>
      </x:c>
      <x:c r="L208" s="85" t="str"/>
      <x:c r="M208" s="85" t="str">
        <x:v>context</x:v>
      </x:c>
      <x:c r="N208" s="85" t="str">
        <x:v>Current manuscript</x:v>
      </x:c>
      <x:c r="O208" s="85" t="str">
        <x:v>arXiv:2606.00113</x:v>
      </x:c>
      <x:c r="P208" s="85" t="str">
        <x:v>Unverified</x:v>
      </x:c>
      <x:c r="Q208" s="85" t="str"/>
      <x:c r="R208" s="85" t="str">
        <x:v>Current bibliography; prior register metadata only</x:v>
      </x:c>
      <x:c r="S208" s="85" t="str">
        <x:v>wang2026manipwmsurvey</x:v>
      </x:c>
      <x:c r="T208" s="85" t="str"/>
      <x:c r="U208" s="85" t="str">
        <x:v>Supporting, survey, foundational, or methodological citation retained outside the proposed manipulation corpus.</x:v>
      </x:c>
      <x:c r="V208" s="85" t="str"/>
    </x:row>
    <x:row r="209" ht="61" customHeight="1">
      <x:c r="A209" s="85" t="str">
        <x:v>R208</x:v>
      </x:c>
      <x:c r="B209" s="85" t="str">
        <x:v>VLA</x:v>
      </x:c>
      <x:c r="C209" s="85" t="str">
        <x:v>Seer</x:v>
      </x:c>
      <x:c r="D209" s="91" t="n">
        <x:v>2024</x:v>
      </x:c>
      <x:c r="E209" s="85" t="str">
        <x:v>Predictive Inverse Dynamics Models are Scalable Learners for Robotic Manipulation</x:v>
      </x:c>
      <x:c r="F209" s="85" t="str">
        <x:v>Seer learns a predictive inverse-dynamics policy that produces robot actions conditioned on forecast visual states. It is pretrained on robot demonstrations and evaluated through simulation and real-world manipulation, including robustness and generalization tests.</x:v>
      </x:c>
      <x:c r="G209" s="92" t="str">
        <x:v>https://arxiv.org/abs/2412.15109</x:v>
      </x:c>
      <x:c r="H209" s="85" t="str">
        <x:v>Proposed include</x:v>
      </x:c>
      <x:c r="I209" s="93" t="str">
        <x:v>Include</x:v>
      </x:c>
      <x:c r="J209" s="85" t="str">
        <x:v>Paper</x:v>
      </x:c>
      <x:c r="K209" s="85" t="str">
        <x:v>Predictive inverse-dynamics policy</x:v>
      </x:c>
      <x:c r="L209" s="85" t="str">
        <x:v>predictive policy; inverse dynamics</x:v>
      </x:c>
      <x:c r="M209" s="85" t="str">
        <x:v>manipulation</x:v>
      </x:c>
      <x:c r="N209" s="85" t="str">
        <x:v>Author-supplied reference, 2 October 2026</x:v>
      </x:c>
      <x:c r="O209" s="85" t="str">
        <x:v>arXiv:2412.15109</x:v>
      </x:c>
      <x:c r="P209" s="85" t="str">
        <x:v>Primary source checked this update</x:v>
      </x:c>
      <x:c r="Q209" s="85" t="str">
        <x:v>2026-10-02</x:v>
      </x:c>
      <x:c r="R209" s="85" t="str">
        <x:v>arXiv abstract, authors, and submission history; first-report year</x:v>
      </x:c>
      <x:c r="S209" s="85" t="str">
        <x:v>seer</x:v>
      </x:c>
      <x:c r="T209" s="85" t="str">
        <x:v>Reviewer revision, 2 October 2026; Table / tab:vla-master</x:v>
      </x:c>
      <x:c r="U209" s="85" t="str">
        <x:v>Author-approved addition on 2 October 2026 after direct primary-source identity and domain-role verification.</x:v>
      </x:c>
      <x:c r="V209" s="85" t="str">
        <x:v>Author supplied the model name during revision; direct source check, not a new broad database search. First-report year retained. One source counted once despite policy/world-model overlap.</x:v>
      </x:c>
    </x:row>
    <x:row r="210" ht="61" customHeight="1">
      <x:c r="A210" s="85" t="str">
        <x:v>R209</x:v>
      </x:c>
      <x:c r="B210" s="85" t="str">
        <x:v>VLA</x:v>
      </x:c>
      <x:c r="C210" s="85" t="str">
        <x:v>Video Prediction Policy</x:v>
      </x:c>
      <x:c r="D210" s="91" t="n">
        <x:v>2024</x:v>
      </x:c>
      <x:c r="E210" s="85" t="str">
        <x:v>Video Prediction Policy: A Generalist Robot Policy with Predictive Visual Representations</x:v>
      </x:c>
      <x:c r="F210" s="85" t="str">
        <x:v>Video Prediction Policy uses representations inside a video diffusion model to condition an implicit inverse-dynamics policy. It adapts the video model with robot and human-manipulation data and evaluates generalization and dexterous manipulation in simulated and physical tasks.</x:v>
      </x:c>
      <x:c r="G210" s="92" t="str">
        <x:v>https://arxiv.org/abs/2412.14803</x:v>
      </x:c>
      <x:c r="H210" s="85" t="str">
        <x:v>Proposed include</x:v>
      </x:c>
      <x:c r="I210" s="93" t="str">
        <x:v>Include</x:v>
      </x:c>
      <x:c r="J210" s="85" t="str">
        <x:v>Paper</x:v>
      </x:c>
      <x:c r="K210" s="85" t="str">
        <x:v>Policy using predictive visual representations</x:v>
      </x:c>
      <x:c r="L210" s="85" t="str">
        <x:v>predictive policy; inverse dynamics</x:v>
      </x:c>
      <x:c r="M210" s="85" t="str">
        <x:v>manipulation</x:v>
      </x:c>
      <x:c r="N210" s="85" t="str">
        <x:v>Author-supplied reference, 2 October 2026</x:v>
      </x:c>
      <x:c r="O210" s="85" t="str">
        <x:v>arXiv:2412.14803</x:v>
      </x:c>
      <x:c r="P210" s="85" t="str">
        <x:v>Primary source checked this update</x:v>
      </x:c>
      <x:c r="Q210" s="85" t="str">
        <x:v>2026-10-02</x:v>
      </x:c>
      <x:c r="R210" s="85" t="str">
        <x:v>arXiv abstract, authors, and submission history; first-report year</x:v>
      </x:c>
      <x:c r="S210" s="85" t="str">
        <x:v>vpp</x:v>
      </x:c>
      <x:c r="T210" s="85" t="str">
        <x:v>Reviewer revision, 2 October 2026; Table / tab:vla-master</x:v>
      </x:c>
      <x:c r="U210" s="85" t="str">
        <x:v>Author-approved addition on 2 October 2026 after direct primary-source identity and domain-role verification.</x:v>
      </x:c>
      <x:c r="V210" s="85" t="str">
        <x:v>Author supplied the model name during revision; direct source check, not a new broad database search. First-report year retained. One source counted once despite policy/world-model overlap.</x:v>
      </x:c>
    </x:row>
    <x:row r="211" ht="61" customHeight="1">
      <x:c r="A211" s="85" t="str">
        <x:v>R210</x:v>
      </x:c>
      <x:c r="B211" s="85" t="str">
        <x:v>World model</x:v>
      </x:c>
      <x:c r="C211" s="85" t="str">
        <x:v>Unified World Models</x:v>
      </x:c>
      <x:c r="D211" s="91" t="n">
        <x:v>2025</x:v>
      </x:c>
      <x:c r="E211" s="85" t="str">
        <x:v>Unified World Models: Coupling Video and Action Diffusion for Pretraining on Large Robotic Datasets</x:v>
      </x:c>
      <x:c r="F211" s="85" t="str">
        <x:v>Unified World Models couples video and action diffusion in one transformer using separate diffusion timesteps for the two modalities. This supports policy, forward-dynamics, inverse-dynamics, and video-generation modes, including learning from action-free video.</x:v>
      </x:c>
      <x:c r="G211" s="92" t="str">
        <x:v>https://arxiv.org/abs/2504.02792</x:v>
      </x:c>
      <x:c r="H211" s="85" t="str">
        <x:v>Proposed include</x:v>
      </x:c>
      <x:c r="I211" s="93" t="str">
        <x:v>Include</x:v>
      </x:c>
      <x:c r="J211" s="85" t="str">
        <x:v>Paper</x:v>
      </x:c>
      <x:c r="K211" s="85" t="str">
        <x:v>Unified video-action dynamics and policy model</x:v>
      </x:c>
      <x:c r="L211" s="85" t="str">
        <x:v>policy learning; forward dynamics; inverse dynamics; video generation</x:v>
      </x:c>
      <x:c r="M211" s="85" t="str">
        <x:v>manipulation</x:v>
      </x:c>
      <x:c r="N211" s="85" t="str">
        <x:v>Author-supplied reference, 2 October 2026</x:v>
      </x:c>
      <x:c r="O211" s="85" t="str">
        <x:v>arXiv:2504.02792</x:v>
      </x:c>
      <x:c r="P211" s="85" t="str">
        <x:v>Primary source checked this update</x:v>
      </x:c>
      <x:c r="Q211" s="85" t="str">
        <x:v>2026-10-02</x:v>
      </x:c>
      <x:c r="R211" s="85" t="str">
        <x:v>arXiv abstract, authors, and submission history; first-report year</x:v>
      </x:c>
      <x:c r="S211" s="85" t="str">
        <x:v>uwm</x:v>
      </x:c>
      <x:c r="T211" s="85" t="str">
        <x:v>Reviewer revision, 2 October 2026; Table / tab:wm-master</x:v>
      </x:c>
      <x:c r="U211" s="85" t="str">
        <x:v>Author-approved addition on 2 October 2026 after direct primary-source identity and domain-role verification.</x:v>
      </x:c>
      <x:c r="V211" s="85" t="str">
        <x:v>Author supplied the model name during revision; direct source check, not a new broad database search. First-report year retained. One source counted once despite policy/world-model overlap.</x:v>
      </x:c>
    </x:row>
    <x:row r="212" ht="61" customHeight="1">
      <x:c r="A212" s="85" t="str">
        <x:v>R211</x:v>
      </x:c>
      <x:c r="B212" s="85" t="str">
        <x:v>VLA</x:v>
      </x:c>
      <x:c r="C212" s="85" t="str">
        <x:v>ReCoVLA</x:v>
      </x:c>
      <x:c r="D212" s="91" t="n">
        <x:v>2026</x:v>
      </x:c>
      <x:c r="E212" s="85" t="str">
        <x:v>ReCoVLA: VLM-Guided Reward Compilation for Failure Recovery in Vision-Language-Action Policies</x:v>
      </x:c>
      <x:c r="F212" s="85" t="str">
        <x:v>ReCoVLA uses a vision-language model to compile task-related reward signals and supports failure detection and residual correction around frozen VLA policies. It evaluates recovery behavior after policy failures rather than presenting a generative world model.</x:v>
      </x:c>
      <x:c r="G212" s="92" t="str">
        <x:v>https://arxiv.org/abs/2606.09630</x:v>
      </x:c>
      <x:c r="H212" s="85" t="str">
        <x:v>Background</x:v>
      </x:c>
      <x:c r="I212" s="93" t="str">
        <x:v>Background</x:v>
      </x:c>
      <x:c r="J212" s="85" t="str">
        <x:v>Paper</x:v>
      </x:c>
      <x:c r="K212" s="85" t="str">
        <x:v>Failure recovery around frozen VLA policies</x:v>
      </x:c>
      <x:c r="L212" s="85" t="str">
        <x:v>failure recovery</x:v>
      </x:c>
      <x:c r="M212" s="85" t="str">
        <x:v>manipulation</x:v>
      </x:c>
      <x:c r="N212" s="85" t="str">
        <x:v>Reviewer-revision context, 2 October 2026</x:v>
      </x:c>
      <x:c r="O212" s="85" t="str">
        <x:v>arXiv:2606.09630</x:v>
      </x:c>
      <x:c r="P212" s="85" t="str">
        <x:v>Primary source checked this update</x:v>
      </x:c>
      <x:c r="Q212" s="85" t="str">
        <x:v>2026-10-02</x:v>
      </x:c>
      <x:c r="R212" s="85" t="str">
        <x:v>Primary arXiv abstract, author metadata, and domain review of paper role</x:v>
      </x:c>
      <x:c r="S212" s="85" t="str">
        <x:v>recovla</x:v>
      </x:c>
      <x:c r="T212" s="85" t="str">
        <x:v>Section V / L1</x:v>
      </x:c>
      <x:c r="U212" s="85" t="str">
        <x:v>Supplementary methodological or recovery context cited in the revised manuscript; not added to the finalized included corpus.</x:v>
      </x:c>
      <x:c r="V212" s="85" t="str">
        <x:v>Supplementary contextual citation added during reviewer revision on 2 October 2026; retained outside the author-confirmed 144-report corpus. This entry does not change the PRISMA included count.</x:v>
      </x:c>
    </x:row>
    <x:row r="213" ht="61" customHeight="1">
      <x:c r="A213" s="85" t="str">
        <x:v>R212</x:v>
      </x:c>
      <x:c r="B213" s="85" t="str">
        <x:v>Background / other</x:v>
      </x:c>
      <x:c r="C213" s="85" t="str">
        <x:v>Learning Symbolic Operators for TAMP</x:v>
      </x:c>
      <x:c r="D213" s="91" t="n">
        <x:v>2021</x:v>
      </x:c>
      <x:c r="E213" s="85" t="str">
        <x:v>Learning Symbolic Operators for Task and Motion Planning</x:v>
      </x:c>
      <x:c r="F213" s="85" t="str">
        <x:v>This work learns symbolic operators from continuous task-and-motion-planning experience. The resulting abstractions support symbolic search coupled to geometric reasoning and establish prior work on learned action-effect models in planning.</x:v>
      </x:c>
      <x:c r="G213" s="92" t="str">
        <x:v>https://arxiv.org/abs/2103.00589</x:v>
      </x:c>
      <x:c r="H213" s="85" t="str">
        <x:v>Background</x:v>
      </x:c>
      <x:c r="I213" s="93" t="str">
        <x:v>Background</x:v>
      </x:c>
      <x:c r="J213" s="85" t="str">
        <x:v>Paper</x:v>
      </x:c>
      <x:c r="K213" s="85" t="str">
        <x:v>Learned symbolic transition abstraction</x:v>
      </x:c>
      <x:c r="L213" s="85" t="str">
        <x:v>task and motion planning; learned abstraction</x:v>
      </x:c>
      <x:c r="M213" s="85" t="str">
        <x:v>manipulation</x:v>
      </x:c>
      <x:c r="N213" s="85" t="str">
        <x:v>Reviewer-revision context, 2 October 2026</x:v>
      </x:c>
      <x:c r="O213" s="85" t="str">
        <x:v>arXiv:2103.00589</x:v>
      </x:c>
      <x:c r="P213" s="85" t="str">
        <x:v>Primary source checked this update</x:v>
      </x:c>
      <x:c r="Q213" s="85" t="str">
        <x:v>2026-10-02</x:v>
      </x:c>
      <x:c r="R213" s="85" t="str">
        <x:v>Primary arXiv abstract, author metadata, and domain review of paper role</x:v>
      </x:c>
      <x:c r="S213" s="85" t="str">
        <x:v>silver2021operators</x:v>
      </x:c>
      <x:c r="T213" s="85" t="str">
        <x:v>Research directions / D10</x:v>
      </x:c>
      <x:c r="U213" s="85" t="str">
        <x:v>Supplementary methodological or recovery context cited in the revised manuscript; not added to the finalized included corpus.</x:v>
      </x:c>
      <x:c r="V213" s="85" t="str">
        <x:v>Supplementary contextual citation added during reviewer revision on 2 October 2026; retained outside the author-confirmed 144-report corpus. This entry does not change the PRISMA included count.</x:v>
      </x:c>
    </x:row>
    <x:row r="214" ht="69" customHeight="1">
      <x:c r="A214" s="85" t="str">
        <x:v>R213</x:v>
      </x:c>
      <x:c r="B214" s="85" t="str">
        <x:v>Background / other</x:v>
      </x:c>
      <x:c r="C214" s="85" t="str">
        <x:v>Neuro-Symbolic Relational Transition Models</x:v>
      </x:c>
      <x:c r="D214" s="91" t="n">
        <x:v>2021</x:v>
      </x:c>
      <x:c r="E214" s="85" t="str">
        <x:v>Learning Neuro-Symbolic Relational Transition Models for Bilevel Planning</x:v>
      </x:c>
      <x:c r="F214" s="85" t="str">
        <x:v>This work learns relational transition models that combine symbolic operators with neural components for continuous prediction and sampling. It uses these models for bilevel planning in continuous manipulation settings.</x:v>
      </x:c>
      <x:c r="G214" s="92" t="str">
        <x:v>https://arxiv.org/abs/2105.14074</x:v>
      </x:c>
      <x:c r="H214" s="85" t="str">
        <x:v>Background</x:v>
      </x:c>
      <x:c r="I214" s="93" t="str">
        <x:v>Background</x:v>
      </x:c>
      <x:c r="J214" s="85" t="str">
        <x:v>Paper</x:v>
      </x:c>
      <x:c r="K214" s="85" t="str">
        <x:v>Learned relational transition model</x:v>
      </x:c>
      <x:c r="L214" s="85" t="str">
        <x:v>task and motion planning; learned abstraction</x:v>
      </x:c>
      <x:c r="M214" s="85" t="str">
        <x:v>manipulation</x:v>
      </x:c>
      <x:c r="N214" s="85" t="str">
        <x:v>Reviewer-revision context, 2 October 2026</x:v>
      </x:c>
      <x:c r="O214" s="85" t="str">
        <x:v>arXiv:2105.14074</x:v>
      </x:c>
      <x:c r="P214" s="85" t="str">
        <x:v>Primary source checked this update</x:v>
      </x:c>
      <x:c r="Q214" s="85" t="str">
        <x:v>2026-10-02</x:v>
      </x:c>
      <x:c r="R214" s="85" t="str">
        <x:v>Primary arXiv abstract, author metadata, and domain review of paper role</x:v>
      </x:c>
      <x:c r="S214" s="85" t="str">
        <x:v>chitnis2022nsrt</x:v>
      </x:c>
      <x:c r="T214" s="85" t="str">
        <x:v>Research directions / D10</x:v>
      </x:c>
      <x:c r="U214" s="85" t="str">
        <x:v>Supplementary methodological or recovery context cited in the revised manuscript; not added to the finalized included corpus.</x:v>
      </x:c>
      <x:c r="V214" s="85" t="str">
        <x:v>Supplementary contextual citation added during reviewer revision on 2 October 2026; retained outside the author-confirmed 144-report corpus. This entry does not change the PRISMA included count. First arXiv report in 2021; publication at IROS 2022. The stable citation key retains 2022.</x:v>
      </x:c>
    </x:row>
    <x:row r="215" ht="61" customHeight="1">
      <x:c r="A215" s="85" t="str">
        <x:v>R214</x:v>
      </x:c>
      <x:c r="B215" s="85" t="str">
        <x:v>Background / other</x:v>
      </x:c>
      <x:c r="C215" s="85" t="str">
        <x:v>Predicate Invention for Bilevel Planning</x:v>
      </x:c>
      <x:c r="D215" s="91" t="n">
        <x:v>2022</x:v>
      </x:c>
      <x:c r="E215" s="85" t="str">
        <x:v>Predicate Invention for Bilevel Planning</x:v>
      </x:c>
      <x:c r="F215" s="85" t="str">
        <x:v>This work learns predicates that provide useful abstractions for bilevel planning. It optimizes the learned symbolic vocabulary for downstream planning rather than assuming that all relevant predicates are supplied by a designer.</x:v>
      </x:c>
      <x:c r="G215" s="92" t="str">
        <x:v>https://arxiv.org/abs/2203.09634</x:v>
      </x:c>
      <x:c r="H215" s="85" t="str">
        <x:v>Background</x:v>
      </x:c>
      <x:c r="I215" s="93" t="str">
        <x:v>Background</x:v>
      </x:c>
      <x:c r="J215" s="85" t="str">
        <x:v>Paper</x:v>
      </x:c>
      <x:c r="K215" s="85" t="str">
        <x:v>Learned predicates and planning abstractions</x:v>
      </x:c>
      <x:c r="L215" s="85" t="str">
        <x:v>task and motion planning; learned abstraction</x:v>
      </x:c>
      <x:c r="M215" s="85" t="str">
        <x:v>manipulation</x:v>
      </x:c>
      <x:c r="N215" s="85" t="str">
        <x:v>Reviewer-revision context, 2 October 2026</x:v>
      </x:c>
      <x:c r="O215" s="85" t="str">
        <x:v>arXiv:2203.09634</x:v>
      </x:c>
      <x:c r="P215" s="85" t="str">
        <x:v>Primary source checked this update</x:v>
      </x:c>
      <x:c r="Q215" s="85" t="str">
        <x:v>2026-10-02</x:v>
      </x:c>
      <x:c r="R215" s="85" t="str">
        <x:v>Primary arXiv abstract, author metadata, and domain review of paper role</x:v>
      </x:c>
      <x:c r="S215" s="85" t="str">
        <x:v>silver2022predicates</x:v>
      </x:c>
      <x:c r="T215" s="85" t="str">
        <x:v>Research directions / D10</x:v>
      </x:c>
      <x:c r="U215" s="85" t="str">
        <x:v>Supplementary methodological or recovery context cited in the revised manuscript; not added to the finalized included corpus.</x:v>
      </x:c>
      <x:c r="V215" s="85" t="str">
        <x:v>Supplementary contextual citation added during reviewer revision on 2 October 2026; retained outside the author-confirmed 144-report corpus. This entry does not change the PRISMA included count. First arXiv report in 2022; publication at AAAI 2023.</x:v>
      </x:c>
    </x:row>
  </x:sheetData>
  <x:conditionalFormatting sqref="I2:I215">
    <x:cfRule type="cellIs" dxfId="0" priority="1" operator="equal">
      <x:formula>"Include"</x:formula>
    </x:cfRule>
  </x:conditionalFormatting>
  <x:conditionalFormatting sqref="H2:H215">
    <x:cfRule type="cellIs" dxfId="1" priority="2" operator="equal">
      <x:formula>"Needs verification"</x:formula>
    </x:cfRule>
  </x:conditionalFormatting>
  <x:dataValidations count="3">
    <x:dataValidation type="list" sqref="I2:I215">
      <x:formula1>"Pending,Include,Background,Exclude,Duplicate"</x:formula1>
    </x:dataValidation>
    <x:dataValidation type="list" sqref="H2:H215">
      <x:formula1>"Proposed include,Background,Non-paper source,Needs verification"</x:formula1>
    </x:dataValidation>
    <x:dataValidation type="list" sqref="B2:B215">
      <x:formula1>"VLA,World model,Dataset / benchmark,Background / other"</x:formula1>
    </x:dataValidation>
  </x:dataValidations>
  <x:hyperlinks>
    <x:hyperlink ref="G2" r:id="primarySourceG2"/>
    <x:hyperlink ref="G3" r:id="primarySourceG3"/>
    <x:hyperlink ref="G4" r:id="primarySourceG4"/>
    <x:hyperlink ref="G5" r:id="primarySourceG5"/>
    <x:hyperlink ref="G6" r:id="primarySourceG6"/>
    <x:hyperlink ref="G7" r:id="primarySourceG7"/>
    <x:hyperlink ref="G8" r:id="primarySourceG8"/>
    <x:hyperlink ref="G9" r:id="primarySourceG9"/>
    <x:hyperlink ref="G10" r:id="primarySourceG10"/>
    <x:hyperlink ref="G11" r:id="primarySourceG11"/>
    <x:hyperlink ref="G12" r:id="primarySourceG12"/>
    <x:hyperlink ref="G13" r:id="primarySourceG13"/>
    <x:hyperlink ref="G14" r:id="primarySourceG14"/>
    <x:hyperlink ref="G15" r:id="primarySourceG15"/>
    <x:hyperlink ref="G16" r:id="primarySourceG16"/>
    <x:hyperlink ref="G17" r:id="primarySourceG17"/>
    <x:hyperlink ref="G18" r:id="primarySourceG18"/>
    <x:hyperlink ref="G19" r:id="primarySourceG19"/>
    <x:hyperlink ref="G20" r:id="primarySourceG20"/>
    <x:hyperlink ref="G21" r:id="primarySourceG21"/>
    <x:hyperlink ref="G22" r:id="primarySourceG22"/>
    <x:hyperlink ref="G23" r:id="primarySourceG23"/>
    <x:hyperlink ref="G24" r:id="primarySourceG24"/>
    <x:hyperlink ref="G25" r:id="primarySourceG25"/>
    <x:hyperlink ref="G26" r:id="primarySourceG26"/>
    <x:hyperlink ref="G27" r:id="primarySourceG27"/>
    <x:hyperlink ref="G28" r:id="primarySourceG28"/>
    <x:hyperlink ref="G29" r:id="primarySourceG29"/>
    <x:hyperlink ref="G30" r:id="primarySourceG30"/>
    <x:hyperlink ref="G31" r:id="primarySourceG31"/>
    <x:hyperlink ref="G32" r:id="primarySourceG32"/>
    <x:hyperlink ref="G33" r:id="primarySourceG33"/>
    <x:hyperlink ref="G34" r:id="primarySourceG34"/>
    <x:hyperlink ref="G35" r:id="primarySourceG35"/>
    <x:hyperlink ref="G36" r:id="primarySourceG36"/>
    <x:hyperlink ref="G37" r:id="primarySourceG37"/>
    <x:hyperlink ref="G38" r:id="primarySourceG38"/>
    <x:hyperlink ref="G39" r:id="primarySourceG39"/>
    <x:hyperlink ref="G40" r:id="primarySourceG40"/>
    <x:hyperlink ref="G41" r:id="primarySourceG41"/>
    <x:hyperlink ref="G42" r:id="primarySourceG42"/>
    <x:hyperlink ref="G43" r:id="primarySourceG43"/>
    <x:hyperlink ref="G44" r:id="primarySourceG44"/>
    <x:hyperlink ref="G45" r:id="primarySourceG45"/>
    <x:hyperlink ref="G46" r:id="primarySourceG46"/>
    <x:hyperlink ref="G47" r:id="primarySourceG47"/>
    <x:hyperlink ref="G48" r:id="primarySourceG48"/>
    <x:hyperlink ref="G49" r:id="primarySourceG49"/>
    <x:hyperlink ref="G50" r:id="primarySourceG50"/>
    <x:hyperlink ref="G51" r:id="primarySourceG51"/>
    <x:hyperlink ref="G52" r:id="primarySourceG52"/>
    <x:hyperlink ref="G53" r:id="primarySourceG53"/>
    <x:hyperlink ref="G54" r:id="primarySourceG54"/>
    <x:hyperlink ref="G55" r:id="primarySourceG55"/>
    <x:hyperlink ref="G56" r:id="primarySourceG56"/>
    <x:hyperlink ref="G57" r:id="primarySourceG57"/>
    <x:hyperlink ref="G58" r:id="primarySourceG58"/>
    <x:hyperlink ref="G59" r:id="primarySourceG59"/>
    <x:hyperlink ref="G60" r:id="primarySourceG60"/>
    <x:hyperlink ref="G61" r:id="primarySourceG61"/>
    <x:hyperlink ref="G62" r:id="primarySourceG62"/>
    <x:hyperlink ref="G63" r:id="primarySourceG63"/>
    <x:hyperlink ref="G64" r:id="primarySourceG64"/>
    <x:hyperlink ref="G65" r:id="primarySourceG65"/>
    <x:hyperlink ref="G66" r:id="primarySourceG66"/>
    <x:hyperlink ref="G67" r:id="primarySourceG67"/>
    <x:hyperlink ref="G68" r:id="primarySourceG68"/>
    <x:hyperlink ref="G69" r:id="primarySourceG69"/>
    <x:hyperlink ref="G70" r:id="primarySourceG70"/>
    <x:hyperlink ref="G71" r:id="primarySourceG71"/>
    <x:hyperlink ref="G72" r:id="primarySourceG72"/>
    <x:hyperlink ref="G73" r:id="primarySourceG73"/>
    <x:hyperlink ref="G74" r:id="primarySourceG74"/>
    <x:hyperlink ref="G75" r:id="primarySourceG75"/>
    <x:hyperlink ref="G76" r:id="primarySourceG76"/>
    <x:hyperlink ref="G77" r:id="primarySourceG77"/>
    <x:hyperlink ref="G78" r:id="primarySourceG78"/>
    <x:hyperlink ref="G79" r:id="primarySourceG79"/>
    <x:hyperlink ref="G80" r:id="primarySourceG80"/>
    <x:hyperlink ref="G81" r:id="primarySourceG81"/>
    <x:hyperlink ref="G82" r:id="primarySourceG82"/>
    <x:hyperlink ref="G83" r:id="primarySourceG83"/>
    <x:hyperlink ref="G84" r:id="primarySourceG84"/>
    <x:hyperlink ref="G85" r:id="primarySourceG85"/>
    <x:hyperlink ref="G86" r:id="primarySourceG86"/>
    <x:hyperlink ref="G87" r:id="primarySourceG87"/>
    <x:hyperlink ref="G88" r:id="primarySourceG88"/>
    <x:hyperlink ref="G89" r:id="primarySourceG89"/>
    <x:hyperlink ref="G90" r:id="primarySourceG90"/>
    <x:hyperlink ref="G91" r:id="primarySourceG91"/>
    <x:hyperlink ref="G92" r:id="primarySourceG92"/>
    <x:hyperlink ref="G93" r:id="primarySourceG93"/>
    <x:hyperlink ref="G94" r:id="primarySourceG94"/>
    <x:hyperlink ref="G95" r:id="primarySourceG95"/>
    <x:hyperlink ref="G96" r:id="primarySourceG96"/>
    <x:hyperlink ref="G97" r:id="primarySourceG97"/>
    <x:hyperlink ref="G98" r:id="primarySourceG98"/>
    <x:hyperlink ref="G99" r:id="primarySourceG99"/>
    <x:hyperlink ref="G100" r:id="primarySourceG100"/>
    <x:hyperlink ref="G101" r:id="primarySourceG101"/>
    <x:hyperlink ref="G102" r:id="primarySourceG102"/>
    <x:hyperlink ref="G103" r:id="primarySourceG103"/>
    <x:hyperlink ref="G104" r:id="primarySourceG104"/>
    <x:hyperlink ref="G105" r:id="primarySourceG105"/>
    <x:hyperlink ref="G106" r:id="primarySourceG106"/>
    <x:hyperlink ref="G107" r:id="primarySourceG107"/>
    <x:hyperlink ref="G108" r:id="primarySourceG108"/>
    <x:hyperlink ref="G109" r:id="primarySourceG109"/>
    <x:hyperlink ref="G110" r:id="primarySourceG110"/>
    <x:hyperlink ref="G111" r:id="primarySourceG111"/>
    <x:hyperlink ref="G112" r:id="primarySourceG112"/>
    <x:hyperlink ref="G113" r:id="primarySourceG113"/>
    <x:hyperlink ref="G114" r:id="primarySourceG114"/>
    <x:hyperlink ref="G115" r:id="primarySourceG115"/>
    <x:hyperlink ref="G116" r:id="primarySourceG116"/>
    <x:hyperlink ref="G117" r:id="primarySourceG117"/>
    <x:hyperlink ref="G118" r:id="primarySourceG118"/>
    <x:hyperlink ref="G119" r:id="primarySourceG119"/>
    <x:hyperlink ref="G120" r:id="primarySourceG120"/>
    <x:hyperlink ref="G121" r:id="primarySourceG121"/>
    <x:hyperlink ref="G122" r:id="primarySourceG122"/>
    <x:hyperlink ref="G123" r:id="primarySourceG123"/>
    <x:hyperlink ref="G124" r:id="primarySourceG124"/>
    <x:hyperlink ref="G125" r:id="primarySourceG125"/>
    <x:hyperlink ref="G126" r:id="primarySourceG126"/>
    <x:hyperlink ref="G127" r:id="primarySourceG127"/>
    <x:hyperlink ref="G128" r:id="primarySourceG128"/>
    <x:hyperlink ref="G129" r:id="primarySourceG129"/>
    <x:hyperlink ref="G130" r:id="primarySourceG130"/>
    <x:hyperlink ref="G131" r:id="primarySourceG131"/>
    <x:hyperlink ref="G132" r:id="primarySourceG132"/>
    <x:hyperlink ref="G133" r:id="primarySourceG133"/>
    <x:hyperlink ref="G134" r:id="primarySourceG134"/>
    <x:hyperlink ref="G135" r:id="primarySourceG135"/>
    <x:hyperlink ref="G136" r:id="primarySourceG136"/>
    <x:hyperlink ref="G137" r:id="primarySourceG137"/>
    <x:hyperlink ref="G138" r:id="primarySourceG138"/>
    <x:hyperlink ref="G139" r:id="primarySourceG139"/>
    <x:hyperlink ref="G140" r:id="primarySourceG140"/>
    <x:hyperlink ref="G141" r:id="primarySourceG141"/>
    <x:hyperlink ref="G142" r:id="primarySourceG142"/>
    <x:hyperlink ref="G143" r:id="primarySourceG143"/>
    <x:hyperlink ref="G144" r:id="primarySourceG144"/>
    <x:hyperlink ref="G145" r:id="primarySourceG145"/>
    <x:hyperlink ref="G146" r:id="primarySourceG146"/>
    <x:hyperlink ref="G147" r:id="primarySourceG147"/>
    <x:hyperlink ref="G148" r:id="primarySourceG148"/>
    <x:hyperlink ref="G149" r:id="primarySourceG149"/>
    <x:hyperlink ref="G150" r:id="primarySourceG150"/>
    <x:hyperlink ref="G151" r:id="primarySourceG151"/>
    <x:hyperlink ref="G152" r:id="primarySourceG152"/>
    <x:hyperlink ref="G153" r:id="primarySourceG153"/>
    <x:hyperlink ref="G154" r:id="primarySourceG154"/>
    <x:hyperlink ref="G155" r:id="primarySourceG155"/>
    <x:hyperlink ref="G156" r:id="primarySourceG156"/>
    <x:hyperlink ref="G157" r:id="primarySourceG157"/>
    <x:hyperlink ref="G158" r:id="primarySourceG158"/>
    <x:hyperlink ref="G159" r:id="primarySourceG159"/>
    <x:hyperlink ref="G160" r:id="primarySourceG160"/>
    <x:hyperlink ref="G161" r:id="primarySourceG161"/>
    <x:hyperlink ref="G162" r:id="primarySourceG162"/>
    <x:hyperlink ref="G163" r:id="primarySourceG163"/>
    <x:hyperlink ref="G164" r:id="primarySourceG164"/>
    <x:hyperlink ref="G165" r:id="primarySourceG165"/>
    <x:hyperlink ref="G166" r:id="primarySourceG166"/>
    <x:hyperlink ref="G167" r:id="primarySourceG167"/>
    <x:hyperlink ref="G168" r:id="primarySourceG168"/>
    <x:hyperlink ref="G169" r:id="primarySourceG169"/>
    <x:hyperlink ref="G170" r:id="primarySourceG170"/>
    <x:hyperlink ref="G171" r:id="primarySourceG171"/>
    <x:hyperlink ref="G172" r:id="primarySourceG172"/>
    <x:hyperlink ref="G173" r:id="primarySourceG173"/>
    <x:hyperlink ref="G174" r:id="primarySourceG174"/>
    <x:hyperlink ref="G175" r:id="primarySourceG175"/>
    <x:hyperlink ref="G176" r:id="primarySourceG176"/>
    <x:hyperlink ref="G177" r:id="primarySourceG177"/>
    <x:hyperlink ref="G178" r:id="primarySourceG178"/>
    <x:hyperlink ref="G179" r:id="primarySourceG179"/>
    <x:hyperlink ref="G180" r:id="primarySourceG180"/>
    <x:hyperlink ref="G181" r:id="primarySourceG181"/>
    <x:hyperlink ref="G182" r:id="primarySourceG182"/>
    <x:hyperlink ref="G183" r:id="primarySourceG183"/>
    <x:hyperlink ref="G184" r:id="primarySourceG184"/>
    <x:hyperlink ref="G185" r:id="primarySourceG185"/>
    <x:hyperlink ref="G186" r:id="primarySourceG186"/>
    <x:hyperlink ref="G187" r:id="primarySourceG187"/>
    <x:hyperlink ref="G188" r:id="primarySourceG188"/>
    <x:hyperlink ref="G189" r:id="primarySourceG189"/>
    <x:hyperlink ref="G190" r:id="primarySourceG190"/>
    <x:hyperlink ref="G191" r:id="primarySourceG191"/>
    <x:hyperlink ref="G192" r:id="primarySourceG192"/>
    <x:hyperlink ref="G193" r:id="primarySourceG193"/>
    <x:hyperlink ref="G194" r:id="primarySourceG194"/>
    <x:hyperlink ref="G195" r:id="primarySourceG195"/>
    <x:hyperlink ref="G196" r:id="primarySourceG196"/>
    <x:hyperlink ref="G197" r:id="primarySourceG197"/>
    <x:hyperlink ref="G198" r:id="primarySourceG198"/>
    <x:hyperlink ref="G199" r:id="primarySourceG199"/>
    <x:hyperlink ref="G200" r:id="primarySourceG200"/>
    <x:hyperlink ref="G201" r:id="primarySourceG201"/>
    <x:hyperlink ref="G202" r:id="primarySourceG202"/>
    <x:hyperlink ref="G203" r:id="primarySourceG203"/>
    <x:hyperlink ref="G204" r:id="primarySourceG204"/>
    <x:hyperlink ref="G205" r:id="primarySourceG205"/>
    <x:hyperlink ref="G206" r:id="primarySourceG206"/>
    <x:hyperlink ref="G207" r:id="primarySourceG207"/>
    <x:hyperlink ref="G208" r:id="primarySourceG208"/>
    <x:hyperlink ref="G209" r:id="primarySourceG209"/>
    <x:hyperlink ref="G210" r:id="primarySourceG210"/>
    <x:hyperlink ref="G211" r:id="primarySourceG211"/>
    <x:hyperlink ref="G212" r:id="primarySourceG212"/>
    <x:hyperlink ref="G213" r:id="primarySourceG213"/>
    <x:hyperlink ref="G214" r:id="primarySourceG214"/>
    <x:hyperlink ref="G215" r:id="primarySourceG215"/>
  </x:hyperlinks>
  <x:pageMargins left="0.7" right="0.7" top="0.75" bottom="0.75" header="0.3" footer="0.3"/>
  <x:tableParts count="1">
    <x:tablePart r:id="R5abf2ea048134f92"/>
  </x:tableParts>
</x:worksheet>
</file>

<file path=xl/worksheets/sheet15.xml><?xml version="1.0" encoding="utf-8"?>
<x:worksheet xmlns:r="http://schemas.openxmlformats.org/officeDocument/2006/relationships"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54" hidden="0" customWidth="1"/>
    <x:col min="3" max="3" width="25" hidden="0" customWidth="1"/>
    <x:col min="4" max="4" width="17" hidden="0" customWidth="1"/>
    <x:col min="5" max="5" width="25" hidden="0" customWidth="1"/>
    <x:col min="6" max="6" width="22" hidden="0" customWidth="1"/>
    <x:col min="7" max="7" width="83" hidden="0" customWidth="1"/>
    <x:col min="8" max="8" width="54" hidden="0" customWidth="1"/>
    <x:col min="9" max="9" width="102" hidden="0" customWidth="1"/>
  </x:cols>
  <x:sheetData>
    <x:row r="1" ht="33" customHeight="1">
      <x:c r="A1" s="89" t="str">
        <x:v>Manuscript table</x:v>
      </x:c>
      <x:c r="B1" s="89" t="str">
        <x:v>Printed entry</x:v>
      </x:c>
      <x:c r="C1" s="89" t="str">
        <x:v>Cited key</x:v>
      </x:c>
      <x:c r="D1" s="89" t="str">
        <x:v>Matched record</x:v>
      </x:c>
      <x:c r="E1" s="89" t="str">
        <x:v>Primary category</x:v>
      </x:c>
      <x:c r="F1" s="89" t="str">
        <x:v>Proposed decision</x:v>
      </x:c>
      <x:c r="G1" s="89" t="str">
        <x:v>Matched source title</x:v>
      </x:c>
      <x:c r="H1" s="89" t="str">
        <x:v>Source link</x:v>
      </x:c>
      <x:c r="I1" s="89" t="str">
        <x:v>Correction / note</x:v>
      </x:c>
    </x:row>
    <x:row r="2" ht="61" customHeight="1">
      <x:c r="A2" s="85" t="str">
        <x:v>VLA models</x:v>
      </x:c>
      <x:c r="B2" s="85" t="str">
        <x:v>RT-1 (precursor)</x:v>
      </x:c>
      <x:c r="C2" s="85" t="str">
        <x:v>rt1</x:v>
      </x:c>
      <x:c r="D2" s="85" t="str">
        <x:v>R086</x:v>
      </x:c>
      <x:c r="E2" s="85" t="str">
        <x:v>VLA</x:v>
      </x:c>
      <x:c r="F2" s="85" t="str">
        <x:v>Background</x:v>
      </x:c>
      <x:c r="G2" s="85" t="str">
        <x:v>RT-1: Robotics Transformer for Real-World Control at Scale</x:v>
      </x:c>
      <x:c r="H2" s="92" t="str">
        <x:v>https://arxiv.org/abs/2212.06817</x:v>
      </x:c>
      <x:c r="I2" s="85" t="str"/>
    </x:row>
    <x:row r="3" ht="61" customHeight="1">
      <x:c r="A3" s="85" t="str">
        <x:v>VLA models</x:v>
      </x:c>
      <x:c r="B3" s="85" t="str">
        <x:v>RT-2</x:v>
      </x:c>
      <x:c r="C3" s="85" t="str">
        <x:v>rt2</x:v>
      </x:c>
      <x:c r="D3" s="85" t="str">
        <x:v>R051</x:v>
      </x:c>
      <x:c r="E3" s="85" t="str">
        <x:v>VLA</x:v>
      </x:c>
      <x:c r="F3" s="85" t="str">
        <x:v>Proposed include</x:v>
      </x:c>
      <x:c r="G3" s="85" t="str">
        <x:v>RT-2: Vision-Language-Action Models Transfer Web Knowledge to Robotic Control</x:v>
      </x:c>
      <x:c r="H3" s="92" t="str">
        <x:v>https://arxiv.org/abs/2307.15818</x:v>
      </x:c>
      <x:c r="I3" s="85" t="str"/>
    </x:row>
    <x:row r="4" ht="61" customHeight="1">
      <x:c r="A4" s="85" t="str">
        <x:v>VLA models</x:v>
      </x:c>
      <x:c r="B4" s="85" t="str">
        <x:v>RT-X</x:v>
      </x:c>
      <x:c r="C4" s="85" t="str">
        <x:v>oxe</x:v>
      </x:c>
      <x:c r="D4" s="85" t="str">
        <x:v>R161</x:v>
      </x:c>
      <x:c r="E4" s="85" t="str">
        <x:v>Dataset / benchmark</x:v>
      </x:c>
      <x:c r="F4" s="85" t="str">
        <x:v>Proposed include</x:v>
      </x:c>
      <x:c r="G4" s="85" t="str">
        <x:v>Open X-Embodiment: Robotic learning datasets and RT-X models</x:v>
      </x:c>
      <x:c r="H4" s="92" t="str">
        <x:v>https://arxiv.org/abs/2310.08864</x:v>
      </x:c>
      <x:c r="I4" s="85" t="str"/>
    </x:row>
    <x:row r="5" ht="61" customHeight="1">
      <x:c r="A5" s="85" t="str">
        <x:v>VLA models</x:v>
      </x:c>
      <x:c r="B5" s="85" t="str">
        <x:v>OpenVLA</x:v>
      </x:c>
      <x:c r="C5" s="85" t="str">
        <x:v>openvla</x:v>
      </x:c>
      <x:c r="D5" s="85" t="str">
        <x:v>R039</x:v>
      </x:c>
      <x:c r="E5" s="85" t="str">
        <x:v>VLA</x:v>
      </x:c>
      <x:c r="F5" s="85" t="str">
        <x:v>Proposed include</x:v>
      </x:c>
      <x:c r="G5" s="85" t="str">
        <x:v>OpenVLA: An Open-Source Vision-Language-Action Model</x:v>
      </x:c>
      <x:c r="H5" s="92" t="str">
        <x:v>https://arxiv.org/abs/2406.09246</x:v>
      </x:c>
      <x:c r="I5" s="85" t="str"/>
    </x:row>
    <x:row r="6" ht="61" customHeight="1">
      <x:c r="A6" s="85" t="str">
        <x:v>VLA models</x:v>
      </x:c>
      <x:c r="B6" s="85" t="str">
        <x:v>FAST / π_0-FAST</x:v>
      </x:c>
      <x:c r="C6" s="85" t="str">
        <x:v>fast</x:v>
      </x:c>
      <x:c r="D6" s="85" t="str">
        <x:v>R017</x:v>
      </x:c>
      <x:c r="E6" s="85" t="str">
        <x:v>VLA</x:v>
      </x:c>
      <x:c r="F6" s="85" t="str">
        <x:v>Proposed include</x:v>
      </x:c>
      <x:c r="G6" s="85" t="str">
        <x:v>FAST: Efficient Action Tokenization for Vision-Language-Action Models</x:v>
      </x:c>
      <x:c r="H6" s="92" t="str">
        <x:v>https://arxiv.org/abs/2501.09747</x:v>
      </x:c>
      <x:c r="I6" s="85" t="str"/>
    </x:row>
    <x:row r="7" ht="61" customHeight="1">
      <x:c r="A7" s="85" t="str">
        <x:v>VLA models</x:v>
      </x:c>
      <x:c r="B7" s="85" t="str">
        <x:v>OpenVLA-OFT</x:v>
      </x:c>
      <x:c r="C7" s="85" t="str">
        <x:v>openvlaoft</x:v>
      </x:c>
      <x:c r="D7" s="85" t="str">
        <x:v>R040</x:v>
      </x:c>
      <x:c r="E7" s="85" t="str">
        <x:v>VLA</x:v>
      </x:c>
      <x:c r="F7" s="85" t="str">
        <x:v>Proposed include</x:v>
      </x:c>
      <x:c r="G7" s="85" t="str">
        <x:v>Fine-Tuning Vision-Language-Action Models: Optimizing Speed and Success</x:v>
      </x:c>
      <x:c r="H7" s="92" t="str">
        <x:v>https://arxiv.org/abs/2502.19645</x:v>
      </x:c>
      <x:c r="I7" s="85" t="str"/>
    </x:row>
    <x:row r="8" ht="61" customHeight="1">
      <x:c r="A8" s="85" t="str">
        <x:v>VLA models</x:v>
      </x:c>
      <x:c r="B8" s="85" t="str">
        <x:v>Octo</x:v>
      </x:c>
      <x:c r="C8" s="85" t="str">
        <x:v>octo</x:v>
      </x:c>
      <x:c r="D8" s="85" t="str">
        <x:v>R037</x:v>
      </x:c>
      <x:c r="E8" s="85" t="str">
        <x:v>VLA</x:v>
      </x:c>
      <x:c r="F8" s="85" t="str">
        <x:v>Proposed include</x:v>
      </x:c>
      <x:c r="G8" s="85" t="str">
        <x:v>Octo: An Open-Source Generalist Robot Policy</x:v>
      </x:c>
      <x:c r="H8" s="92" t="str">
        <x:v>https://arxiv.org/abs/2405.12213</x:v>
      </x:c>
      <x:c r="I8" s="85" t="str"/>
    </x:row>
    <x:row r="9" ht="61" customHeight="1">
      <x:c r="A9" s="85" t="str">
        <x:v>VLA models</x:v>
      </x:c>
      <x:c r="B9" s="85" t="str">
        <x:v>π_0</x:v>
      </x:c>
      <x:c r="C9" s="85" t="str">
        <x:v>pi0</x:v>
      </x:c>
      <x:c r="D9" s="85" t="str">
        <x:v>R065</x:v>
      </x:c>
      <x:c r="E9" s="85" t="str">
        <x:v>VLA</x:v>
      </x:c>
      <x:c r="F9" s="85" t="str">
        <x:v>Proposed include</x:v>
      </x:c>
      <x:c r="G9" s="85" t="str">
        <x:v>π0: A Vision-Language-Action Flow Model for General Robot Control</x:v>
      </x:c>
      <x:c r="H9" s="92" t="str">
        <x:v>https://arxiv.org/abs/2410.24164</x:v>
      </x:c>
      <x:c r="I9" s="85" t="str"/>
    </x:row>
    <x:row r="10" ht="61" customHeight="1">
      <x:c r="A10" s="85" t="str">
        <x:v>VLA models</x:v>
      </x:c>
      <x:c r="B10" s="85" t="str">
        <x:v>RDT-1B</x:v>
      </x:c>
      <x:c r="C10" s="85" t="str">
        <x:v>rdt1b</x:v>
      </x:c>
      <x:c r="D10" s="85" t="str">
        <x:v>R045</x:v>
      </x:c>
      <x:c r="E10" s="85" t="str">
        <x:v>VLA</x:v>
      </x:c>
      <x:c r="F10" s="85" t="str">
        <x:v>Proposed include</x:v>
      </x:c>
      <x:c r="G10" s="85" t="str">
        <x:v>RDT-1B: A Diffusion Foundation Model for Bimanual Manipulation</x:v>
      </x:c>
      <x:c r="H10" s="92" t="str">
        <x:v>https://arxiv.org/abs/2410.07864</x:v>
      </x:c>
      <x:c r="I10" s="85" t="str"/>
    </x:row>
    <x:row r="11" ht="61" customHeight="1">
      <x:c r="A11" s="85" t="str">
        <x:v>VLA models</x:v>
      </x:c>
      <x:c r="B11" s="85" t="str">
        <x:v>GR00T N1</x:v>
      </x:c>
      <x:c r="C11" s="85" t="str">
        <x:v>groot</x:v>
      </x:c>
      <x:c r="D11" s="85" t="str">
        <x:v>R025</x:v>
      </x:c>
      <x:c r="E11" s="85" t="str">
        <x:v>VLA</x:v>
      </x:c>
      <x:c r="F11" s="85" t="str">
        <x:v>Proposed include</x:v>
      </x:c>
      <x:c r="G11" s="85" t="str">
        <x:v>GR00T N1: An Open Foundation Model for Generalist Humanoid Robots</x:v>
      </x:c>
      <x:c r="H11" s="92" t="str">
        <x:v>https://arxiv.org/abs/2503.14734</x:v>
      </x:c>
      <x:c r="I11" s="85" t="str"/>
    </x:row>
    <x:row r="12" ht="61" customHeight="1">
      <x:c r="A12" s="85" t="str">
        <x:v>VLA models</x:v>
      </x:c>
      <x:c r="B12" s="85" t="str">
        <x:v>GR00T N1.7</x:v>
      </x:c>
      <x:c r="C12" s="85" t="str">
        <x:v>grootn17</x:v>
      </x:c>
      <x:c r="D12" s="85" t="str">
        <x:v>R073</x:v>
      </x:c>
      <x:c r="E12" s="85" t="str">
        <x:v>VLA</x:v>
      </x:c>
      <x:c r="F12" s="85" t="str">
        <x:v>Non-paper source</x:v>
      </x:c>
      <x:c r="G12" s="85" t="str">
        <x:v>GR00T-N1.7-3B Model Card</x:v>
      </x:c>
      <x:c r="H12" s="92" t="str">
        <x:v>https://huggingface.co/nvidia/GR00T-N1.7-3B</x:v>
      </x:c>
      <x:c r="I12" s="85" t="str"/>
    </x:row>
    <x:row r="13" ht="61" customHeight="1">
      <x:c r="A13" s="85" t="str">
        <x:v>VLA models</x:v>
      </x:c>
      <x:c r="B13" s="85" t="str">
        <x:v>π_0.5</x:v>
      </x:c>
      <x:c r="C13" s="85" t="str">
        <x:v>pi05</x:v>
      </x:c>
      <x:c r="D13" s="85" t="str">
        <x:v>R066</x:v>
      </x:c>
      <x:c r="E13" s="85" t="str">
        <x:v>VLA</x:v>
      </x:c>
      <x:c r="F13" s="85" t="str">
        <x:v>Proposed include</x:v>
      </x:c>
      <x:c r="G13" s="85" t="str">
        <x:v>π0.5: A Vision-Language-Action Model with Open-World Generalization</x:v>
      </x:c>
      <x:c r="H13" s="92" t="str">
        <x:v>https://arxiv.org/abs/2504.16054</x:v>
      </x:c>
      <x:c r="I13" s="85" t="str"/>
    </x:row>
    <x:row r="14" ht="61" customHeight="1">
      <x:c r="A14" s="85" t="str">
        <x:v>VLA models</x:v>
      </x:c>
      <x:c r="B14" s="85" t="str">
        <x:v>π_0.7</x:v>
      </x:c>
      <x:c r="C14" s="85" t="str">
        <x:v>pi07</x:v>
      </x:c>
      <x:c r="D14" s="85" t="str">
        <x:v>R067</x:v>
      </x:c>
      <x:c r="E14" s="85" t="str">
        <x:v>VLA</x:v>
      </x:c>
      <x:c r="F14" s="85" t="str">
        <x:v>Proposed include</x:v>
      </x:c>
      <x:c r="G14" s="85" t="str">
        <x:v>π0.7: A Steerable Generalist Robotic Foundation Model with Emergent Capabilities</x:v>
      </x:c>
      <x:c r="H14" s="92" t="str">
        <x:v>https://arxiv.org/abs/2604.15483</x:v>
      </x:c>
      <x:c r="I14" s="85" t="str"/>
    </x:row>
    <x:row r="15" ht="61" customHeight="1">
      <x:c r="A15" s="85" t="str">
        <x:v>VLA models</x:v>
      </x:c>
      <x:c r="B15" s="85" t="str">
        <x:v>LingBot-VLA 2.0</x:v>
      </x:c>
      <x:c r="C15" s="85" t="str">
        <x:v>lingbotvla2</x:v>
      </x:c>
      <x:c r="D15" s="85" t="str">
        <x:v>R032</x:v>
      </x:c>
      <x:c r="E15" s="85" t="str">
        <x:v>VLA</x:v>
      </x:c>
      <x:c r="F15" s="85" t="str">
        <x:v>Proposed include</x:v>
      </x:c>
      <x:c r="G15" s="85" t="str">
        <x:v>From Foundation to Application: Improving VLA Models in Practice</x:v>
      </x:c>
      <x:c r="H15" s="92" t="str">
        <x:v>https://arxiv.org/abs/2607.06403</x:v>
      </x:c>
      <x:c r="I15" s="85" t="str"/>
    </x:row>
    <x:row r="16" ht="61" customHeight="1">
      <x:c r="A16" s="85" t="str">
        <x:v>VLA models</x:v>
      </x:c>
      <x:c r="B16" s="85" t="str">
        <x:v>GR-2</x:v>
      </x:c>
      <x:c r="C16" s="85" t="str">
        <x:v>gr2</x:v>
      </x:c>
      <x:c r="D16" s="85" t="str">
        <x:v>R024</x:v>
      </x:c>
      <x:c r="E16" s="85" t="str">
        <x:v>VLA</x:v>
      </x:c>
      <x:c r="F16" s="85" t="str">
        <x:v>Proposed include</x:v>
      </x:c>
      <x:c r="G16" s="85" t="str">
        <x:v>GR-2: A Generative Video-Language-Action Model with Web-Scale Knowledge for Robot Manipulation</x:v>
      </x:c>
      <x:c r="H16" s="92" t="str">
        <x:v>https://arxiv.org/abs/2410.06158</x:v>
      </x:c>
      <x:c r="I16" s="85" t="str"/>
    </x:row>
    <x:row r="17" ht="61" customHeight="1">
      <x:c r="A17" s="85" t="str">
        <x:v>VLA models</x:v>
      </x:c>
      <x:c r="B17" s="85" t="str">
        <x:v>Gemini Robotics</x:v>
      </x:c>
      <x:c r="C17" s="85" t="str">
        <x:v>geminirobotics</x:v>
      </x:c>
      <x:c r="D17" s="85" t="str">
        <x:v>R021</x:v>
      </x:c>
      <x:c r="E17" s="85" t="str">
        <x:v>VLA</x:v>
      </x:c>
      <x:c r="F17" s="85" t="str">
        <x:v>Proposed include</x:v>
      </x:c>
      <x:c r="G17" s="85" t="str">
        <x:v>Gemini Robotics: Bringing AI into the Physical World</x:v>
      </x:c>
      <x:c r="H17" s="92" t="str">
        <x:v>https://arxiv.org/abs/2503.20020</x:v>
      </x:c>
      <x:c r="I17" s="85" t="str"/>
    </x:row>
    <x:row r="18" ht="61" customHeight="1">
      <x:c r="A18" s="85" t="str">
        <x:v>VLA models</x:v>
      </x:c>
      <x:c r="B18" s="85" t="str">
        <x:v>Helix</x:v>
      </x:c>
      <x:c r="C18" s="85" t="str">
        <x:v>helix</x:v>
      </x:c>
      <x:c r="D18" s="85" t="str">
        <x:v>R074</x:v>
      </x:c>
      <x:c r="E18" s="85" t="str">
        <x:v>VLA</x:v>
      </x:c>
      <x:c r="F18" s="85" t="str">
        <x:v>Non-paper source</x:v>
      </x:c>
      <x:c r="G18" s="85" t="str">
        <x:v>Helix: A Vision-Language-Action Model for Generalist Humanoid Control</x:v>
      </x:c>
      <x:c r="H18" s="92" t="str">
        <x:v>https://www.figure.ai/news/helix</x:v>
      </x:c>
      <x:c r="I18" s="85" t="str"/>
    </x:row>
    <x:row r="19" ht="61" customHeight="1">
      <x:c r="A19" s="85" t="str">
        <x:v>VLA models</x:v>
      </x:c>
      <x:c r="B19" s="85" t="str">
        <x:v>Helix 02</x:v>
      </x:c>
      <x:c r="C19" s="85" t="str">
        <x:v>helix02</x:v>
      </x:c>
      <x:c r="D19" s="85" t="str">
        <x:v>R075</x:v>
      </x:c>
      <x:c r="E19" s="85" t="str">
        <x:v>VLA</x:v>
      </x:c>
      <x:c r="F19" s="85" t="str">
        <x:v>Non-paper source</x:v>
      </x:c>
      <x:c r="G19" s="85" t="str">
        <x:v>Introducing Helix 02: Full-Body Autonomy</x:v>
      </x:c>
      <x:c r="H19" s="92" t="str">
        <x:v>https://www.figure.ai/news/helix-02</x:v>
      </x:c>
      <x:c r="I19" s="85" t="str"/>
    </x:row>
    <x:row r="20" ht="61" customHeight="1">
      <x:c r="A20" s="85" t="str">
        <x:v>VLA models</x:v>
      </x:c>
      <x:c r="B20" s="85" t="str">
        <x:v>Hi Robot</x:v>
      </x:c>
      <x:c r="C20" s="85" t="str">
        <x:v>hirobot</x:v>
      </x:c>
      <x:c r="D20" s="85" t="str">
        <x:v>R028</x:v>
      </x:c>
      <x:c r="E20" s="85" t="str">
        <x:v>VLA</x:v>
      </x:c>
      <x:c r="F20" s="85" t="str">
        <x:v>Proposed include</x:v>
      </x:c>
      <x:c r="G20" s="85" t="str">
        <x:v>Hi Robot: Open-Ended Instruction Following with Hierarchical Vision-Language-Action Models</x:v>
      </x:c>
      <x:c r="H20" s="92" t="str">
        <x:v>https://arxiv.org/abs/2502.19417</x:v>
      </x:c>
      <x:c r="I20" s="85" t="str"/>
    </x:row>
    <x:row r="21" ht="61" customHeight="1">
      <x:c r="A21" s="85" t="str">
        <x:v>VLA models</x:v>
      </x:c>
      <x:c r="B21" s="85" t="str">
        <x:v>ECoT</x:v>
      </x:c>
      <x:c r="C21" s="85" t="str">
        <x:v>ecot</x:v>
      </x:c>
      <x:c r="D21" s="85" t="str">
        <x:v>R014</x:v>
      </x:c>
      <x:c r="E21" s="85" t="str">
        <x:v>VLA</x:v>
      </x:c>
      <x:c r="F21" s="85" t="str">
        <x:v>Proposed include</x:v>
      </x:c>
      <x:c r="G21" s="85" t="str">
        <x:v>Robotic Control via Embodied Chain-of-Thought Reasoning</x:v>
      </x:c>
      <x:c r="H21" s="92" t="str">
        <x:v>https://arxiv.org/abs/2407.08693</x:v>
      </x:c>
      <x:c r="I21" s="85" t="str"/>
    </x:row>
    <x:row r="22" ht="61" customHeight="1">
      <x:c r="A22" s="85" t="str">
        <x:v>VLA models</x:v>
      </x:c>
      <x:c r="B22" s="85" t="str">
        <x:v>CoT-VLA</x:v>
      </x:c>
      <x:c r="C22" s="85" t="str">
        <x:v>cotvla</x:v>
      </x:c>
      <x:c r="D22" s="85" t="str">
        <x:v>R009</x:v>
      </x:c>
      <x:c r="E22" s="85" t="str">
        <x:v>VLA</x:v>
      </x:c>
      <x:c r="F22" s="85" t="str">
        <x:v>Proposed include</x:v>
      </x:c>
      <x:c r="G22" s="85" t="str">
        <x:v>CoT-VLA: Visual Chain-of-Thought Reasoning for Vision-Language-Action Models</x:v>
      </x:c>
      <x:c r="H22" s="92" t="str">
        <x:v>https://arxiv.org/abs/2503.22020</x:v>
      </x:c>
      <x:c r="I22" s="85" t="str"/>
    </x:row>
    <x:row r="23" ht="61" customHeight="1">
      <x:c r="A23" s="85" t="str">
        <x:v>VLA models</x:v>
      </x:c>
      <x:c r="B23" s="85" t="str">
        <x:v>LoHoVLA</x:v>
      </x:c>
      <x:c r="C23" s="85" t="str">
        <x:v>lohovla</x:v>
      </x:c>
      <x:c r="D23" s="85" t="str">
        <x:v>R034</x:v>
      </x:c>
      <x:c r="E23" s="85" t="str">
        <x:v>VLA</x:v>
      </x:c>
      <x:c r="F23" s="85" t="str">
        <x:v>Proposed include</x:v>
      </x:c>
      <x:c r="G23" s="85" t="str">
        <x:v>LoHoVLA: A Unified Vision-Language-Action Model for Long-Horizon Embodied Tasks</x:v>
      </x:c>
      <x:c r="H23" s="92" t="str">
        <x:v>https://arxiv.org/abs/2506.00411</x:v>
      </x:c>
      <x:c r="I23" s="85" t="str"/>
    </x:row>
    <x:row r="24" ht="61" customHeight="1">
      <x:c r="A24" s="85" t="str">
        <x:v>VLA models</x:v>
      </x:c>
      <x:c r="B24" s="85" t="str">
        <x:v>Gemini Robotics 1.5</x:v>
      </x:c>
      <x:c r="C24" s="85" t="str">
        <x:v>gemini15</x:v>
      </x:c>
      <x:c r="D24" s="85" t="str">
        <x:v>R022</x:v>
      </x:c>
      <x:c r="E24" s="85" t="str">
        <x:v>VLA</x:v>
      </x:c>
      <x:c r="F24" s="85" t="str">
        <x:v>Proposed include</x:v>
      </x:c>
      <x:c r="G24" s="85" t="str">
        <x:v>Gemini Robotics 1.5: Pushing the Frontier of Generalist Robots with Advanced Embodied Reasoning, Thinking, and Motion Transfer</x:v>
      </x:c>
      <x:c r="H24" s="92" t="str">
        <x:v>https://arxiv.org/abs/2510.03342</x:v>
      </x:c>
      <x:c r="I24" s="85" t="str"/>
    </x:row>
    <x:row r="25" ht="61" customHeight="1">
      <x:c r="A25" s="85" t="str">
        <x:v>VLA models</x:v>
      </x:c>
      <x:c r="B25" s="85" t="str">
        <x:v>3D-VLA</x:v>
      </x:c>
      <x:c r="C25" s="85" t="str">
        <x:v>threedvla</x:v>
      </x:c>
      <x:c r="D25" s="85" t="str">
        <x:v>R002</x:v>
      </x:c>
      <x:c r="E25" s="85" t="str">
        <x:v>VLA</x:v>
      </x:c>
      <x:c r="F25" s="85" t="str">
        <x:v>Proposed include</x:v>
      </x:c>
      <x:c r="G25" s="85" t="str">
        <x:v>3D-VLA: A 3D Vision-Language-Action Generative World Model</x:v>
      </x:c>
      <x:c r="H25" s="92" t="str">
        <x:v>https://arxiv.org/abs/2403.09631</x:v>
      </x:c>
      <x:c r="I25" s="85" t="str"/>
    </x:row>
    <x:row r="26" ht="61" customHeight="1">
      <x:c r="A26" s="85" t="str">
        <x:v>VLA models</x:v>
      </x:c>
      <x:c r="B26" s="85" t="str">
        <x:v>SpatialVLA</x:v>
      </x:c>
      <x:c r="C26" s="85" t="str">
        <x:v>spatialvla</x:v>
      </x:c>
      <x:c r="D26" s="85" t="str">
        <x:v>R057</x:v>
      </x:c>
      <x:c r="E26" s="85" t="str">
        <x:v>VLA</x:v>
      </x:c>
      <x:c r="F26" s="85" t="str">
        <x:v>Proposed include</x:v>
      </x:c>
      <x:c r="G26" s="85" t="str">
        <x:v>SpatialVLA: Exploring Spatial Representations for Visual-Language-Action Models</x:v>
      </x:c>
      <x:c r="H26" s="92" t="str">
        <x:v>https://arxiv.org/abs/2501.15830</x:v>
      </x:c>
      <x:c r="I26" s="85" t="str"/>
    </x:row>
    <x:row r="27" ht="61" customHeight="1">
      <x:c r="A27" s="85" t="str">
        <x:v>VLA models</x:v>
      </x:c>
      <x:c r="B27" s="85" t="str">
        <x:v>GraspVLA</x:v>
      </x:c>
      <x:c r="C27" s="85" t="str">
        <x:v>graspvla</x:v>
      </x:c>
      <x:c r="D27" s="85" t="str">
        <x:v>R027</x:v>
      </x:c>
      <x:c r="E27" s="85" t="str">
        <x:v>VLA</x:v>
      </x:c>
      <x:c r="F27" s="85" t="str">
        <x:v>Proposed include</x:v>
      </x:c>
      <x:c r="G27" s="85" t="str">
        <x:v>GraspVLA: A Grasping Foundation Model Pre-Trained on Billion-Scale Synthetic Action Data</x:v>
      </x:c>
      <x:c r="H27" s="92" t="str">
        <x:v>https://arxiv.org/abs/2505.03233</x:v>
      </x:c>
      <x:c r="I27" s="85" t="str"/>
    </x:row>
    <x:row r="28" ht="61" customHeight="1">
      <x:c r="A28" s="85" t="str">
        <x:v>VLA models</x:v>
      </x:c>
      <x:c r="B28" s="85" t="str">
        <x:v>FP3</x:v>
      </x:c>
      <x:c r="C28" s="85" t="str">
        <x:v>fp3</x:v>
      </x:c>
      <x:c r="D28" s="85" t="str">
        <x:v>R020</x:v>
      </x:c>
      <x:c r="E28" s="85" t="str">
        <x:v>VLA</x:v>
      </x:c>
      <x:c r="F28" s="85" t="str">
        <x:v>Proposed include</x:v>
      </x:c>
      <x:c r="G28" s="85" t="str">
        <x:v>FP3: A 3D Foundation Policy for Robotic Manipulation</x:v>
      </x:c>
      <x:c r="H28" s="92" t="str">
        <x:v>https://arxiv.org/abs/2503.08950</x:v>
      </x:c>
      <x:c r="I28" s="85" t="str"/>
    </x:row>
    <x:row r="29" ht="61" customHeight="1">
      <x:c r="A29" s="85" t="str">
        <x:v>VLA models</x:v>
      </x:c>
      <x:c r="B29" s="85" t="str">
        <x:v>SimpleVLA-RL</x:v>
      </x:c>
      <x:c r="C29" s="85" t="str">
        <x:v>simplevlarl</x:v>
      </x:c>
      <x:c r="D29" s="85" t="str">
        <x:v>R055</x:v>
      </x:c>
      <x:c r="E29" s="85" t="str">
        <x:v>VLA</x:v>
      </x:c>
      <x:c r="F29" s="85" t="str">
        <x:v>Proposed include</x:v>
      </x:c>
      <x:c r="G29" s="85" t="str">
        <x:v>SimpleVLA-RL: Scaling VLA Training via Reinforcement Learning</x:v>
      </x:c>
      <x:c r="H29" s="92" t="str">
        <x:v>https://arxiv.org/abs/2509.09674</x:v>
      </x:c>
      <x:c r="I29" s="85" t="str"/>
    </x:row>
    <x:row r="30" ht="61" customHeight="1">
      <x:c r="A30" s="85" t="str">
        <x:v>VLA models</x:v>
      </x:c>
      <x:c r="B30" s="85" t="str">
        <x:v>RIPT-VLA</x:v>
      </x:c>
      <x:c r="C30" s="85" t="str">
        <x:v>riptvla</x:v>
      </x:c>
      <x:c r="D30" s="85" t="str">
        <x:v>R046</x:v>
      </x:c>
      <x:c r="E30" s="85" t="str">
        <x:v>VLA</x:v>
      </x:c>
      <x:c r="F30" s="85" t="str">
        <x:v>Proposed include</x:v>
      </x:c>
      <x:c r="G30" s="85" t="str">
        <x:v>Interactive Post-Training for Vision-Language-Action Models</x:v>
      </x:c>
      <x:c r="H30" s="92" t="str">
        <x:v>https://arxiv.org/abs/2505.17016</x:v>
      </x:c>
      <x:c r="I30" s="85" t="str"/>
    </x:row>
    <x:row r="31" ht="61" customHeight="1">
      <x:c r="A31" s="85" t="str">
        <x:v>VLA models</x:v>
      </x:c>
      <x:c r="B31" s="85" t="str">
        <x:v>FLaRe</x:v>
      </x:c>
      <x:c r="C31" s="85" t="str">
        <x:v>flarerl</x:v>
      </x:c>
      <x:c r="D31" s="85" t="str">
        <x:v>R018</x:v>
      </x:c>
      <x:c r="E31" s="85" t="str">
        <x:v>VLA</x:v>
      </x:c>
      <x:c r="F31" s="85" t="str">
        <x:v>Proposed include</x:v>
      </x:c>
      <x:c r="G31" s="85" t="str">
        <x:v>FLaRe: Achieving Masterful and Adaptive Robot Policies with Large-Scale Reinforcement Learning Fine-Tuning</x:v>
      </x:c>
      <x:c r="H31" s="92" t="str">
        <x:v>https://arxiv.org/abs/2409.16578</x:v>
      </x:c>
      <x:c r="I31" s="85" t="str"/>
    </x:row>
    <x:row r="32" ht="61" customHeight="1">
      <x:c r="A32" s="85" t="str">
        <x:v>VLA models</x:v>
      </x:c>
      <x:c r="B32" s="85" t="str">
        <x:v>TinyVLA</x:v>
      </x:c>
      <x:c r="C32" s="85" t="str">
        <x:v>tinyvla</x:v>
      </x:c>
      <x:c r="D32" s="85" t="str">
        <x:v>R059</x:v>
      </x:c>
      <x:c r="E32" s="85" t="str">
        <x:v>VLA</x:v>
      </x:c>
      <x:c r="F32" s="85" t="str">
        <x:v>Proposed include</x:v>
      </x:c>
      <x:c r="G32" s="85" t="str">
        <x:v>TinyVLA: Towards Fast, Data-Efficient Vision-Language-Action Models for Robotic Manipulation</x:v>
      </x:c>
      <x:c r="H32" s="92" t="str">
        <x:v>https://arxiv.org/abs/2409.12514</x:v>
      </x:c>
      <x:c r="I32" s="85" t="str"/>
    </x:row>
    <x:row r="33" ht="61" customHeight="1">
      <x:c r="A33" s="85" t="str">
        <x:v>VLA models</x:v>
      </x:c>
      <x:c r="B33" s="85" t="str">
        <x:v>SmolVLA</x:v>
      </x:c>
      <x:c r="C33" s="85" t="str">
        <x:v>smolvla</x:v>
      </x:c>
      <x:c r="D33" s="85" t="str">
        <x:v>R056</x:v>
      </x:c>
      <x:c r="E33" s="85" t="str">
        <x:v>VLA</x:v>
      </x:c>
      <x:c r="F33" s="85" t="str">
        <x:v>Proposed include</x:v>
      </x:c>
      <x:c r="G33" s="85" t="str">
        <x:v>SmolVLA: A Vision-Language-Action Model for Affordable and Efficient Robotics</x:v>
      </x:c>
      <x:c r="H33" s="92" t="str">
        <x:v>https://arxiv.org/abs/2506.01844</x:v>
      </x:c>
      <x:c r="I33" s="85" t="str"/>
    </x:row>
    <x:row r="34" ht="61" customHeight="1">
      <x:c r="A34" s="85" t="str">
        <x:v>VLA models</x:v>
      </x:c>
      <x:c r="B34" s="85" t="str">
        <x:v>BitVLA</x:v>
      </x:c>
      <x:c r="C34" s="85" t="str">
        <x:v>bitvla</x:v>
      </x:c>
      <x:c r="D34" s="85" t="str">
        <x:v>R004</x:v>
      </x:c>
      <x:c r="E34" s="85" t="str">
        <x:v>VLA</x:v>
      </x:c>
      <x:c r="F34" s="85" t="str">
        <x:v>Proposed include</x:v>
      </x:c>
      <x:c r="G34" s="85" t="str">
        <x:v>BitVLA: 1-Bit Vision-Language-Action Models for Robotics Manipulation</x:v>
      </x:c>
      <x:c r="H34" s="92" t="str">
        <x:v>https://arxiv.org/abs/2506.07530</x:v>
      </x:c>
      <x:c r="I34" s="85" t="str"/>
    </x:row>
    <x:row r="35" ht="61" customHeight="1">
      <x:c r="A35" s="85" t="str">
        <x:v>VLA models</x:v>
      </x:c>
      <x:c r="B35" s="85" t="str">
        <x:v>RoboMamba</x:v>
      </x:c>
      <x:c r="C35" s="85" t="str">
        <x:v>robomamba</x:v>
      </x:c>
      <x:c r="D35" s="85" t="str">
        <x:v>R049</x:v>
      </x:c>
      <x:c r="E35" s="85" t="str">
        <x:v>VLA</x:v>
      </x:c>
      <x:c r="F35" s="85" t="str">
        <x:v>Proposed include</x:v>
      </x:c>
      <x:c r="G35" s="85" t="str">
        <x:v>RoboMamba: Multimodal State Space Model for Efficient Robot Reasoning and Manipulation</x:v>
      </x:c>
      <x:c r="H35" s="92" t="str">
        <x:v>https://arxiv.org/abs/2406.04339</x:v>
      </x:c>
      <x:c r="I35" s="85" t="str"/>
    </x:row>
    <x:row r="36" ht="61" customHeight="1">
      <x:c r="A36" s="85" t="str">
        <x:v>World models</x:v>
      </x:c>
      <x:c r="B36" s="85" t="str">
        <x:v>World Models</x:v>
      </x:c>
      <x:c r="C36" s="85" t="str">
        <x:v>worldmodels2018</x:v>
      </x:c>
      <x:c r="D36" s="85" t="str">
        <x:v>R143</x:v>
      </x:c>
      <x:c r="E36" s="85" t="str">
        <x:v>World model</x:v>
      </x:c>
      <x:c r="F36" s="85" t="str">
        <x:v>Background</x:v>
      </x:c>
      <x:c r="G36" s="85" t="str">
        <x:v>World models</x:v>
      </x:c>
      <x:c r="H36" s="92" t="str">
        <x:v>https://arxiv.org/abs/1803.10122</x:v>
      </x:c>
      <x:c r="I36" s="85" t="str"/>
    </x:row>
    <x:row r="37" ht="61" customHeight="1">
      <x:c r="A37" s="85" t="str">
        <x:v>World models</x:v>
      </x:c>
      <x:c r="B37" s="85" t="str">
        <x:v>PlaNet</x:v>
      </x:c>
      <x:c r="C37" s="85" t="str">
        <x:v>planet</x:v>
      </x:c>
      <x:c r="D37" s="85" t="str">
        <x:v>R139</x:v>
      </x:c>
      <x:c r="E37" s="85" t="str">
        <x:v>World model</x:v>
      </x:c>
      <x:c r="F37" s="85" t="str">
        <x:v>Background</x:v>
      </x:c>
      <x:c r="G37" s="85" t="str">
        <x:v>Learning latent dynamics for planning from pixels</x:v>
      </x:c>
      <x:c r="H37" s="92" t="str">
        <x:v>https://arxiv.org/abs/1811.04551</x:v>
      </x:c>
      <x:c r="I37" s="85" t="str"/>
    </x:row>
    <x:row r="38" ht="61" customHeight="1">
      <x:c r="A38" s="85" t="str">
        <x:v>World models</x:v>
      </x:c>
      <x:c r="B38" s="85" t="str">
        <x:v>DreamerV3</x:v>
      </x:c>
      <x:c r="C38" s="85" t="str">
        <x:v>dreamerv3</x:v>
      </x:c>
      <x:c r="D38" s="85" t="str">
        <x:v>R097</x:v>
      </x:c>
      <x:c r="E38" s="85" t="str">
        <x:v>World model</x:v>
      </x:c>
      <x:c r="F38" s="85" t="str">
        <x:v>Proposed include</x:v>
      </x:c>
      <x:c r="G38" s="85" t="str">
        <x:v>Mastering diverse control tasks through world models</x:v>
      </x:c>
      <x:c r="H38" s="92" t="str">
        <x:v>https://arxiv.org/abs/2301.04104</x:v>
      </x:c>
      <x:c r="I38" s="85" t="str"/>
    </x:row>
    <x:row r="39" ht="61" customHeight="1">
      <x:c r="A39" s="85" t="str">
        <x:v>World models</x:v>
      </x:c>
      <x:c r="B39" s="85" t="str">
        <x:v>TD-MPC2</x:v>
      </x:c>
      <x:c r="C39" s="85" t="str">
        <x:v>tdmpc2</x:v>
      </x:c>
      <x:c r="D39" s="85" t="str">
        <x:v>R119</x:v>
      </x:c>
      <x:c r="E39" s="85" t="str">
        <x:v>World model</x:v>
      </x:c>
      <x:c r="F39" s="85" t="str">
        <x:v>Proposed include</x:v>
      </x:c>
      <x:c r="G39" s="85" t="str">
        <x:v>TD-MPC2: Scalable, robust world models for continuous control</x:v>
      </x:c>
      <x:c r="H39" s="92" t="str">
        <x:v>https://arxiv.org/abs/2310.16828</x:v>
      </x:c>
      <x:c r="I39" s="85" t="str"/>
    </x:row>
    <x:row r="40" ht="61" customHeight="1">
      <x:c r="A40" s="85" t="str">
        <x:v>World models</x:v>
      </x:c>
      <x:c r="B40" s="85" t="str">
        <x:v>Dreamer 4</x:v>
      </x:c>
      <x:c r="C40" s="85" t="str">
        <x:v>dreamer4</x:v>
      </x:c>
      <x:c r="D40" s="85" t="str">
        <x:v>R132</x:v>
      </x:c>
      <x:c r="E40" s="85" t="str">
        <x:v>World model</x:v>
      </x:c>
      <x:c r="F40" s="85" t="str">
        <x:v>Background</x:v>
      </x:c>
      <x:c r="G40" s="85" t="str">
        <x:v>Training agents inside of scalable world models</x:v>
      </x:c>
      <x:c r="H40" s="92" t="str">
        <x:v>https://arxiv.org/abs/2509.24527</x:v>
      </x:c>
      <x:c r="I40" s="85" t="str"/>
    </x:row>
    <x:row r="41" ht="61" customHeight="1">
      <x:c r="A41" s="85" t="str">
        <x:v>World models</x:v>
      </x:c>
      <x:c r="B41" s="85" t="str">
        <x:v>UniPi</x:v>
      </x:c>
      <x:c r="C41" s="85" t="str">
        <x:v>unipi</x:v>
      </x:c>
      <x:c r="D41" s="85" t="str">
        <x:v>R122</x:v>
      </x:c>
      <x:c r="E41" s="85" t="str">
        <x:v>World model</x:v>
      </x:c>
      <x:c r="F41" s="85" t="str">
        <x:v>Proposed include</x:v>
      </x:c>
      <x:c r="G41" s="85" t="str">
        <x:v>Learning universal policies via text-guided video generation</x:v>
      </x:c>
      <x:c r="H41" s="92" t="str">
        <x:v>https://arxiv.org/abs/2302.00111</x:v>
      </x:c>
      <x:c r="I41" s="85" t="str"/>
    </x:row>
    <x:row r="42" ht="61" customHeight="1">
      <x:c r="A42" s="85" t="str">
        <x:v>World models</x:v>
      </x:c>
      <x:c r="B42" s="85" t="str">
        <x:v>UniSim</x:v>
      </x:c>
      <x:c r="C42" s="85" t="str">
        <x:v>unisim</x:v>
      </x:c>
      <x:c r="D42" s="85" t="str">
        <x:v>R123</x:v>
      </x:c>
      <x:c r="E42" s="85" t="str">
        <x:v>World model</x:v>
      </x:c>
      <x:c r="F42" s="85" t="str">
        <x:v>Proposed include</x:v>
      </x:c>
      <x:c r="G42" s="85" t="str">
        <x:v>Learning interactive real-world simulators</x:v>
      </x:c>
      <x:c r="H42" s="92" t="str">
        <x:v>https://arxiv.org/abs/2310.06114</x:v>
      </x:c>
      <x:c r="I42" s="85" t="str"/>
    </x:row>
    <x:row r="43" ht="61" customHeight="1">
      <x:c r="A43" s="85" t="str">
        <x:v>World models</x:v>
      </x:c>
      <x:c r="B43" s="85" t="str">
        <x:v>GR-1</x:v>
      </x:c>
      <x:c r="C43" s="85" t="str">
        <x:v>gr1</x:v>
      </x:c>
      <x:c r="D43" s="85" t="str">
        <x:v>R105</x:v>
      </x:c>
      <x:c r="E43" s="85" t="str">
        <x:v>World model</x:v>
      </x:c>
      <x:c r="F43" s="85" t="str">
        <x:v>Proposed include</x:v>
      </x:c>
      <x:c r="G43" s="85" t="str">
        <x:v>Unleashing large-scale video generative pre-training for visual robot manipulation</x:v>
      </x:c>
      <x:c r="H43" s="92" t="str">
        <x:v>https://arxiv.org/abs/2312.13139</x:v>
      </x:c>
      <x:c r="I43" s="85" t="str"/>
    </x:row>
    <x:row r="44" ht="61" customHeight="1">
      <x:c r="A44" s="85" t="str">
        <x:v>World models</x:v>
      </x:c>
      <x:c r="B44" s="85" t="str">
        <x:v>Cosmos</x:v>
      </x:c>
      <x:c r="C44" s="85" t="str">
        <x:v>cosmos</x:v>
      </x:c>
      <x:c r="D44" s="85" t="str">
        <x:v>R092</x:v>
      </x:c>
      <x:c r="E44" s="85" t="str">
        <x:v>World model</x:v>
      </x:c>
      <x:c r="F44" s="85" t="str">
        <x:v>Proposed include</x:v>
      </x:c>
      <x:c r="G44" s="85" t="str">
        <x:v>Cosmos World Foundation Model Platform for Physical AI</x:v>
      </x:c>
      <x:c r="H44" s="92" t="str">
        <x:v>https://arxiv.org/abs/2501.03575</x:v>
      </x:c>
      <x:c r="I44" s="85" t="str"/>
    </x:row>
    <x:row r="45" ht="61" customHeight="1">
      <x:c r="A45" s="85" t="str">
        <x:v>World models</x:v>
      </x:c>
      <x:c r="B45" s="85" t="str">
        <x:v>Genie 3</x:v>
      </x:c>
      <x:c r="C45" s="85" t="str">
        <x:v>genie3</x:v>
      </x:c>
      <x:c r="D45" s="85" t="str">
        <x:v>R135</x:v>
      </x:c>
      <x:c r="E45" s="85" t="str">
        <x:v>World model</x:v>
      </x:c>
      <x:c r="F45" s="85" t="str">
        <x:v>Non-paper source</x:v>
      </x:c>
      <x:c r="G45" s="85" t="str">
        <x:v>Genie 3: A new frontier for world models</x:v>
      </x:c>
      <x:c r="H45" s="92" t="str">
        <x:v>https://deepmind.google/blog/genie-3-a-new-frontier-for-world-models/</x:v>
      </x:c>
      <x:c r="I45" s="85" t="str"/>
    </x:row>
    <x:row r="46" ht="61" customHeight="1">
      <x:c r="A46" s="85" t="str">
        <x:v>World models</x:v>
      </x:c>
      <x:c r="B46" s="85" t="str">
        <x:v>Genie Envisioner</x:v>
      </x:c>
      <x:c r="C46" s="85" t="str">
        <x:v>genieenvisioner</x:v>
      </x:c>
      <x:c r="D46" s="85" t="str">
        <x:v>R104</x:v>
      </x:c>
      <x:c r="E46" s="85" t="str">
        <x:v>World model</x:v>
      </x:c>
      <x:c r="F46" s="85" t="str">
        <x:v>Proposed include</x:v>
      </x:c>
      <x:c r="G46" s="85" t="str">
        <x:v>Genie envisioner: A unified world foundation platform for robotic manipulation</x:v>
      </x:c>
      <x:c r="H46" s="92" t="str">
        <x:v>https://arxiv.org/abs/2508.05635</x:v>
      </x:c>
      <x:c r="I46" s="85" t="str"/>
    </x:row>
    <x:row r="47" ht="61" customHeight="1">
      <x:c r="A47" s="85" t="str">
        <x:v>World models</x:v>
      </x:c>
      <x:c r="B47" s="85" t="str">
        <x:v>V-JEPA 2</x:v>
      </x:c>
      <x:c r="C47" s="85" t="str">
        <x:v>vjepa2</x:v>
      </x:c>
      <x:c r="D47" s="85" t="str">
        <x:v>R124</x:v>
      </x:c>
      <x:c r="E47" s="85" t="str">
        <x:v>World model</x:v>
      </x:c>
      <x:c r="F47" s="85" t="str">
        <x:v>Proposed include</x:v>
      </x:c>
      <x:c r="G47" s="85" t="str">
        <x:v>V-JEPA 2: Self-supervised video models enable understanding, prediction and planning</x:v>
      </x:c>
      <x:c r="H47" s="92" t="str">
        <x:v>https://arxiv.org/abs/2506.09985</x:v>
      </x:c>
      <x:c r="I47" s="85" t="str"/>
    </x:row>
    <x:row r="48" ht="61" customHeight="1">
      <x:c r="A48" s="85" t="str">
        <x:v>World models</x:v>
      </x:c>
      <x:c r="B48" s="85" t="str">
        <x:v>V-JEPA 2-AC</x:v>
      </x:c>
      <x:c r="C48" s="85" t="str">
        <x:v>vjepa2</x:v>
      </x:c>
      <x:c r="D48" s="85" t="str">
        <x:v>R124</x:v>
      </x:c>
      <x:c r="E48" s="85" t="str">
        <x:v>World model</x:v>
      </x:c>
      <x:c r="F48" s="85" t="str">
        <x:v>Proposed include</x:v>
      </x:c>
      <x:c r="G48" s="85" t="str">
        <x:v>V-JEPA 2: Self-supervised video models enable understanding, prediction and planning</x:v>
      </x:c>
      <x:c r="H48" s="92" t="str">
        <x:v>https://arxiv.org/abs/2506.09985</x:v>
      </x:c>
      <x:c r="I48" s="85" t="str"/>
    </x:row>
    <x:row r="49" ht="61" customHeight="1">
      <x:c r="A49" s="85" t="str">
        <x:v>World models</x:v>
      </x:c>
      <x:c r="B49" s="85" t="str">
        <x:v>VLA-JEPA</x:v>
      </x:c>
      <x:c r="C49" s="85" t="str">
        <x:v>jepavla</x:v>
      </x:c>
      <x:c r="D49" s="85" t="str">
        <x:v>R126</x:v>
      </x:c>
      <x:c r="E49" s="85" t="str">
        <x:v>World model</x:v>
      </x:c>
      <x:c r="F49" s="85" t="str">
        <x:v>Proposed include</x:v>
      </x:c>
      <x:c r="G49" s="85" t="str">
        <x:v>VLA-JEPA: Enhancing vision-language-action model with latent world model</x:v>
      </x:c>
      <x:c r="H49" s="92" t="str">
        <x:v>https://arxiv.org/abs/2602.10098</x:v>
      </x:c>
      <x:c r="I49" s="85" t="str"/>
    </x:row>
    <x:row r="50" ht="61" customHeight="1">
      <x:c r="A50" s="85" t="str">
        <x:v>World models</x:v>
      </x:c>
      <x:c r="B50" s="85" t="str">
        <x:v>LaWAM</x:v>
      </x:c>
      <x:c r="C50" s="85" t="str">
        <x:v>lawam</x:v>
      </x:c>
      <x:c r="D50" s="85" t="str">
        <x:v>R111</x:v>
      </x:c>
      <x:c r="E50" s="85" t="str">
        <x:v>World model</x:v>
      </x:c>
      <x:c r="F50" s="85" t="str">
        <x:v>Proposed include</x:v>
      </x:c>
      <x:c r="G50" s="85" t="str">
        <x:v>LaWAM: Latent World Action Models for Efficient Dynamics-Aware Robot Policies</x:v>
      </x:c>
      <x:c r="H50" s="92" t="str">
        <x:v>https://arxiv.org/abs/2606.15768</x:v>
      </x:c>
      <x:c r="I50" s="85" t="str"/>
    </x:row>
    <x:row r="51" ht="61" customHeight="1">
      <x:c r="A51" s="85" t="str">
        <x:v>World models</x:v>
      </x:c>
      <x:c r="B51" s="85" t="str">
        <x:v>TesserAct</x:v>
      </x:c>
      <x:c r="C51" s="85" t="str">
        <x:v>tesseract</x:v>
      </x:c>
      <x:c r="D51" s="85" t="str">
        <x:v>R120</x:v>
      </x:c>
      <x:c r="E51" s="85" t="str">
        <x:v>World model</x:v>
      </x:c>
      <x:c r="F51" s="85" t="str">
        <x:v>Proposed include</x:v>
      </x:c>
      <x:c r="G51" s="85" t="str">
        <x:v>TesserAct: Learning 4D embodied world models</x:v>
      </x:c>
      <x:c r="H51" s="92" t="str">
        <x:v>https://arxiv.org/abs/2504.20995</x:v>
      </x:c>
      <x:c r="I51" s="85" t="str"/>
    </x:row>
    <x:row r="52" ht="61" customHeight="1">
      <x:c r="A52" s="85" t="str">
        <x:v>World models</x:v>
      </x:c>
      <x:c r="B52" s="85" t="str">
        <x:v>GWM</x:v>
      </x:c>
      <x:c r="C52" s="85" t="str">
        <x:v>gaussianworld</x:v>
      </x:c>
      <x:c r="D52" s="85" t="str">
        <x:v>R106</x:v>
      </x:c>
      <x:c r="E52" s="85" t="str">
        <x:v>World model</x:v>
      </x:c>
      <x:c r="F52" s="85" t="str">
        <x:v>Proposed include</x:v>
      </x:c>
      <x:c r="G52" s="85" t="str">
        <x:v>GWM: Towards scalable gaussian world models for robotic manipulation</x:v>
      </x:c>
      <x:c r="H52" s="92" t="str">
        <x:v>https://arxiv.org/abs/2508.17600</x:v>
      </x:c>
      <x:c r="I52" s="85" t="str"/>
    </x:row>
    <x:row r="53" ht="61" customHeight="1">
      <x:c r="A53" s="85" t="str">
        <x:v>World models</x:v>
      </x:c>
      <x:c r="B53" s="85" t="str">
        <x:v>DreamGen</x:v>
      </x:c>
      <x:c r="C53" s="85" t="str">
        <x:v>dreamgen</x:v>
      </x:c>
      <x:c r="D53" s="85" t="str">
        <x:v>R098</x:v>
      </x:c>
      <x:c r="E53" s="85" t="str">
        <x:v>World model</x:v>
      </x:c>
      <x:c r="F53" s="85" t="str">
        <x:v>Proposed include</x:v>
      </x:c>
      <x:c r="G53" s="85" t="str">
        <x:v>DreamGen: Unlocking generalization in robot learning through video world models</x:v>
      </x:c>
      <x:c r="H53" s="92" t="str">
        <x:v>https://arxiv.org/abs/2505.12705</x:v>
      </x:c>
      <x:c r="I53" s="85" t="str"/>
    </x:row>
    <x:row r="54" ht="61" customHeight="1">
      <x:c r="A54" s="85" t="str">
        <x:v>World models</x:v>
      </x:c>
      <x:c r="B54" s="85" t="str">
        <x:v>GE-Sim</x:v>
      </x:c>
      <x:c r="C54" s="85" t="str">
        <x:v>genieenvisioner</x:v>
      </x:c>
      <x:c r="D54" s="85" t="str">
        <x:v>R104</x:v>
      </x:c>
      <x:c r="E54" s="85" t="str">
        <x:v>World model</x:v>
      </x:c>
      <x:c r="F54" s="85" t="str">
        <x:v>Proposed include</x:v>
      </x:c>
      <x:c r="G54" s="85" t="str">
        <x:v>Genie envisioner: A unified world foundation platform for robotic manipulation</x:v>
      </x:c>
      <x:c r="H54" s="92" t="str">
        <x:v>https://arxiv.org/abs/2508.05635</x:v>
      </x:c>
      <x:c r="I54" s="85" t="str"/>
    </x:row>
    <x:row r="55" ht="61" customHeight="1">
      <x:c r="A55" s="85" t="str">
        <x:v>World models</x:v>
      </x:c>
      <x:c r="B55" s="85" t="str">
        <x:v>WorldEval</x:v>
      </x:c>
      <x:c r="C55" s="85" t="str">
        <x:v>policyeval</x:v>
      </x:c>
      <x:c r="D55" s="85" t="str">
        <x:v>R128</x:v>
      </x:c>
      <x:c r="E55" s="85" t="str">
        <x:v>World model</x:v>
      </x:c>
      <x:c r="F55" s="85" t="str">
        <x:v>Proposed include</x:v>
      </x:c>
      <x:c r="G55" s="85" t="str">
        <x:v>WorldEval: World model as real-world robot policies evaluator</x:v>
      </x:c>
      <x:c r="H55" s="92" t="str">
        <x:v>https://arxiv.org/abs/2505.19017</x:v>
      </x:c>
      <x:c r="I55" s="85" t="str"/>
    </x:row>
    <x:row r="56" ht="61" customHeight="1">
      <x:c r="A56" s="85" t="str">
        <x:v>World models</x:v>
      </x:c>
      <x:c r="B56" s="85" t="str">
        <x:v>UnifoLM-WMA-0</x:v>
      </x:c>
      <x:c r="C56" s="85" t="str">
        <x:v>unifolm</x:v>
      </x:c>
      <x:c r="D56" s="85" t="str">
        <x:v>R141</x:v>
      </x:c>
      <x:c r="E56" s="85" t="str">
        <x:v>World model</x:v>
      </x:c>
      <x:c r="F56" s="85" t="str">
        <x:v>Non-paper source</x:v>
      </x:c>
      <x:c r="G56" s="85" t="str">
        <x:v>UnifoLM-WMA-0: A World-Model-Action (WMA) Framework under UnifoLM Family</x:v>
      </x:c>
      <x:c r="H56" s="92" t="str">
        <x:v>https://github.com/unitreerobotics/unifolm-world-model-action</x:v>
      </x:c>
      <x:c r="I56" s="85" t="str"/>
    </x:row>
    <x:row r="57" ht="61" customHeight="1">
      <x:c r="A57" s="85" t="str">
        <x:v>World models</x:v>
      </x:c>
      <x:c r="B57" s="85" t="str">
        <x:v>World-Gymnast</x:v>
      </x:c>
      <x:c r="C57" s="85" t="str">
        <x:v>sharma2026worldgymnast</x:v>
      </x:c>
      <x:c r="D57" s="85" t="str">
        <x:v>R127</x:v>
      </x:c>
      <x:c r="E57" s="85" t="str">
        <x:v>World model</x:v>
      </x:c>
      <x:c r="F57" s="85" t="str">
        <x:v>Proposed include</x:v>
      </x:c>
      <x:c r="G57" s="85" t="str">
        <x:v>World-Gymnast: Training robots with reinforcement learning in a world model</x:v>
      </x:c>
      <x:c r="H57" s="92" t="str">
        <x:v>https://arxiv.org/abs/2602.02454</x:v>
      </x:c>
      <x:c r="I57" s="85" t="str"/>
    </x:row>
    <x:row r="58" ht="61" customHeight="1">
      <x:c r="A58" s="85" t="str">
        <x:v>World models</x:v>
      </x:c>
      <x:c r="B58" s="85" t="str">
        <x:v>DreamDojo</x:v>
      </x:c>
      <x:c r="C58" s="85" t="str">
        <x:v>dreamdojo</x:v>
      </x:c>
      <x:c r="D58" s="85" t="str">
        <x:v>R096</x:v>
      </x:c>
      <x:c r="E58" s="85" t="str">
        <x:v>World model</x:v>
      </x:c>
      <x:c r="F58" s="85" t="str">
        <x:v>Proposed include</x:v>
      </x:c>
      <x:c r="G58" s="85" t="str">
        <x:v>DreamDojo: A generalist robot world model from large-scale human videos</x:v>
      </x:c>
      <x:c r="H58" s="92" t="str">
        <x:v>https://arxiv.org/abs/2602.06949</x:v>
      </x:c>
      <x:c r="I58" s="85" t="str"/>
    </x:row>
    <x:row r="59" ht="61" customHeight="1">
      <x:c r="A59" s="85" t="str">
        <x:v>World models</x:v>
      </x:c>
      <x:c r="B59" s="85" t="str">
        <x:v>WorldVLA</x:v>
      </x:c>
      <x:c r="C59" s="85" t="str">
        <x:v>worldvla</x:v>
      </x:c>
      <x:c r="D59" s="85" t="str">
        <x:v>R129</x:v>
      </x:c>
      <x:c r="E59" s="85" t="str">
        <x:v>World model</x:v>
      </x:c>
      <x:c r="F59" s="85" t="str">
        <x:v>Proposed include</x:v>
      </x:c>
      <x:c r="G59" s="85" t="str">
        <x:v>WorldVLA: Towards autoregressive action world model</x:v>
      </x:c>
      <x:c r="H59" s="92" t="str">
        <x:v>https://arxiv.org/abs/2506.21539</x:v>
      </x:c>
      <x:c r="I59" s="85" t="str"/>
    </x:row>
    <x:row r="60" ht="61" customHeight="1">
      <x:c r="A60" s="85" t="str">
        <x:v>World models</x:v>
      </x:c>
      <x:c r="B60" s="85" t="str">
        <x:v>FLARE</x:v>
      </x:c>
      <x:c r="C60" s="85" t="str">
        <x:v>flarewm</x:v>
      </x:c>
      <x:c r="D60" s="85" t="str">
        <x:v>R101</x:v>
      </x:c>
      <x:c r="E60" s="85" t="str">
        <x:v>World model</x:v>
      </x:c>
      <x:c r="F60" s="85" t="str">
        <x:v>Proposed include</x:v>
      </x:c>
      <x:c r="G60" s="85" t="str">
        <x:v>FLARE: Robot learning with implicit world modeling</x:v>
      </x:c>
      <x:c r="H60" s="92" t="str">
        <x:v>https://arxiv.org/abs/2505.15659</x:v>
      </x:c>
      <x:c r="I60" s="85" t="str"/>
    </x:row>
    <x:row r="61" ht="61" customHeight="1">
      <x:c r="A61" s="85" t="str">
        <x:v>World models</x:v>
      </x:c>
      <x:c r="B61" s="85" t="str">
        <x:v>DreamVLA</x:v>
      </x:c>
      <x:c r="C61" s="85" t="str">
        <x:v>dreamvla</x:v>
      </x:c>
      <x:c r="D61" s="85" t="str">
        <x:v>R099</x:v>
      </x:c>
      <x:c r="E61" s="85" t="str">
        <x:v>World model</x:v>
      </x:c>
      <x:c r="F61" s="85" t="str">
        <x:v>Proposed include</x:v>
      </x:c>
      <x:c r="G61" s="85" t="str">
        <x:v>DreamVLA: A vision-language-action model dreamed with comprehensive world knowledge</x:v>
      </x:c>
      <x:c r="H61" s="92" t="str">
        <x:v>https://arxiv.org/abs/2507.04447</x:v>
      </x:c>
      <x:c r="I61" s="85" t="str"/>
    </x:row>
    <x:row r="62" ht="61" customHeight="1">
      <x:c r="A62" s="85" t="str">
        <x:v>World models</x:v>
      </x:c>
      <x:c r="B62" s="85" t="str">
        <x:v>Cosmos Policy</x:v>
      </x:c>
      <x:c r="C62" s="85" t="str">
        <x:v>cosmospolicy</x:v>
      </x:c>
      <x:c r="D62" s="85" t="str">
        <x:v>R093</x:v>
      </x:c>
      <x:c r="E62" s="85" t="str">
        <x:v>World model</x:v>
      </x:c>
      <x:c r="F62" s="85" t="str">
        <x:v>Proposed include</x:v>
      </x:c>
      <x:c r="G62" s="85" t="str">
        <x:v>Cosmos Policy: Fine-tuning video models for visuomotor control and planning</x:v>
      </x:c>
      <x:c r="H62" s="92" t="str">
        <x:v>https://arxiv.org/abs/2601.16163</x:v>
      </x:c>
      <x:c r="I62" s="85" t="str"/>
    </x:row>
    <x:row r="63" ht="61" customHeight="1">
      <x:c r="A63" s="85" t="str">
        <x:v>World models</x:v>
      </x:c>
      <x:c r="B63" s="85" t="str">
        <x:v>DreamZero</x:v>
      </x:c>
      <x:c r="C63" s="85" t="str">
        <x:v>dreamzero</x:v>
      </x:c>
      <x:c r="D63" s="85" t="str">
        <x:v>R100</x:v>
      </x:c>
      <x:c r="E63" s="85" t="str">
        <x:v>World model</x:v>
      </x:c>
      <x:c r="F63" s="85" t="str">
        <x:v>Proposed include</x:v>
      </x:c>
      <x:c r="G63" s="85" t="str">
        <x:v>World action models are zero-shot policies</x:v>
      </x:c>
      <x:c r="H63" s="92" t="str">
        <x:v>https://arxiv.org/abs/2602.15922</x:v>
      </x:c>
      <x:c r="I63" s="85" t="str"/>
    </x:row>
    <x:row r="64" ht="61" customHeight="1">
      <x:c r="A64" s="85" t="str">
        <x:v>World models</x:v>
      </x:c>
      <x:c r="B64" s="85" t="str">
        <x:v>StructVLA</x:v>
      </x:c>
      <x:c r="C64" s="85" t="str">
        <x:v>structvla</x:v>
      </x:c>
      <x:c r="D64" s="85" t="str">
        <x:v>R116</x:v>
      </x:c>
      <x:c r="E64" s="85" t="str">
        <x:v>World model</x:v>
      </x:c>
      <x:c r="F64" s="85" t="str">
        <x:v>Proposed include</x:v>
      </x:c>
      <x:c r="G64" s="85" t="str">
        <x:v>Beyond Dense Futures: World Models as Structured Planners for Robotic Manipulation</x:v>
      </x:c>
      <x:c r="H64" s="92" t="str">
        <x:v>https://arxiv.org/abs/2603.12553</x:v>
      </x:c>
      <x:c r="I64" s="85" t="str"/>
    </x:row>
    <x:row r="65" ht="61" customHeight="1">
      <x:c r="A65" s="85" t="str">
        <x:v>World models</x:v>
      </x:c>
      <x:c r="B65" s="85" t="str">
        <x:v>HarmoWAM</x:v>
      </x:c>
      <x:c r="C65" s="85" t="str">
        <x:v>harmowam</x:v>
      </x:c>
      <x:c r="D65" s="85" t="str">
        <x:v>R107</x:v>
      </x:c>
      <x:c r="E65" s="85" t="str">
        <x:v>World model</x:v>
      </x:c>
      <x:c r="F65" s="85" t="str">
        <x:v>Proposed include</x:v>
      </x:c>
      <x:c r="G65" s="85" t="str">
        <x:v>HarmoWAM: Harmonizing generalizable and precise manipulation via adaptive world action models</x:v>
      </x:c>
      <x:c r="H65" s="92" t="str">
        <x:v>https://arxiv.org/abs/2605.10942</x:v>
      </x:c>
      <x:c r="I65" s="85" t="str"/>
    </x:row>
    <x:row r="66" ht="61" customHeight="1">
      <x:c r="A66" s="85" t="str">
        <x:v>Benchmarks</x:v>
      </x:c>
      <x:c r="B66" s="85" t="str">
        <x:v>LIBERO</x:v>
      </x:c>
      <x:c r="C66" s="85" t="str">
        <x:v>liu2023libero</x:v>
      </x:c>
      <x:c r="D66" s="85" t="str">
        <x:v>R154</x:v>
      </x:c>
      <x:c r="E66" s="85" t="str">
        <x:v>Dataset / benchmark</x:v>
      </x:c>
      <x:c r="F66" s="85" t="str">
        <x:v>Proposed include</x:v>
      </x:c>
      <x:c r="G66" s="85" t="str">
        <x:v>LIBERO: Benchmarking knowledge transfer for lifelong robot learning</x:v>
      </x:c>
      <x:c r="H66" s="92" t="str">
        <x:v>https://arxiv.org/abs/2306.03310</x:v>
      </x:c>
      <x:c r="I66" s="85" t="str"/>
    </x:row>
    <x:row r="67" ht="61" customHeight="1">
      <x:c r="A67" s="85" t="str">
        <x:v>Benchmarks</x:v>
      </x:c>
      <x:c r="B67" s="85" t="str">
        <x:v>LIBERO</x:v>
      </x:c>
      <x:c r="C67" s="85" t="str">
        <x:v>liberoplus</x:v>
      </x:c>
      <x:c r="D67" s="85" t="str">
        <x:v>R155</x:v>
      </x:c>
      <x:c r="E67" s="85" t="str">
        <x:v>Dataset / benchmark</x:v>
      </x:c>
      <x:c r="F67" s="85" t="str">
        <x:v>Proposed include</x:v>
      </x:c>
      <x:c r="G67" s="85" t="str">
        <x:v>LIBERO-Plus: In-depth robustness analysis of vision-language-action models</x:v>
      </x:c>
      <x:c r="H67" s="92" t="str">
        <x:v>https://arxiv.org/abs/2510.13626</x:v>
      </x:c>
      <x:c r="I67" s="85" t="str"/>
    </x:row>
    <x:row r="68" ht="61" customHeight="1">
      <x:c r="A68" s="85" t="str">
        <x:v>Benchmarks</x:v>
      </x:c>
      <x:c r="B68" s="85" t="str">
        <x:v>LIBERO-Plus</x:v>
      </x:c>
      <x:c r="C68" s="85" t="str">
        <x:v>liberoplus</x:v>
      </x:c>
      <x:c r="D68" s="85" t="str">
        <x:v>R155</x:v>
      </x:c>
      <x:c r="E68" s="85" t="str">
        <x:v>Dataset / benchmark</x:v>
      </x:c>
      <x:c r="F68" s="85" t="str">
        <x:v>Proposed include</x:v>
      </x:c>
      <x:c r="G68" s="85" t="str">
        <x:v>LIBERO-Plus: In-depth robustness analysis of vision-language-action models</x:v>
      </x:c>
      <x:c r="H68" s="92" t="str">
        <x:v>https://arxiv.org/abs/2510.13626</x:v>
      </x:c>
      <x:c r="I68" s="85" t="str"/>
    </x:row>
    <x:row r="69" ht="61" customHeight="1">
      <x:c r="A69" s="85" t="str">
        <x:v>Benchmarks</x:v>
      </x:c>
      <x:c r="B69" s="85" t="str">
        <x:v>SimplerEnv</x:v>
      </x:c>
      <x:c r="C69" s="85" t="str">
        <x:v>simplerenv</x:v>
      </x:c>
      <x:c r="D69" s="85" t="str">
        <x:v>R171</x:v>
      </x:c>
      <x:c r="E69" s="85" t="str">
        <x:v>Dataset / benchmark</x:v>
      </x:c>
      <x:c r="F69" s="85" t="str">
        <x:v>Proposed include</x:v>
      </x:c>
      <x:c r="G69" s="85" t="str">
        <x:v>Evaluating real-world robot manipulation policies in simulation</x:v>
      </x:c>
      <x:c r="H69" s="92" t="str">
        <x:v>https://arxiv.org/abs/2405.05941</x:v>
      </x:c>
      <x:c r="I69" s="85" t="str"/>
    </x:row>
    <x:row r="70" ht="61" customHeight="1">
      <x:c r="A70" s="85" t="str">
        <x:v>Benchmarks</x:v>
      </x:c>
      <x:c r="B70" s="85" t="str">
        <x:v>CALVIN</x:v>
      </x:c>
      <x:c r="C70" s="85" t="str">
        <x:v>calvin</x:v>
      </x:c>
      <x:c r="D70" s="85" t="str">
        <x:v>R147</x:v>
      </x:c>
      <x:c r="E70" s="85" t="str">
        <x:v>Dataset / benchmark</x:v>
      </x:c>
      <x:c r="F70" s="85" t="str">
        <x:v>Proposed include</x:v>
      </x:c>
      <x:c r="G70" s="85" t="str">
        <x:v>CALVIN: A benchmark for language-conditioned policy learning for long-horizon robot manipulation tasks</x:v>
      </x:c>
      <x:c r="H70" s="92" t="str">
        <x:v>https://arxiv.org/abs/2112.03227</x:v>
      </x:c>
      <x:c r="I70" s="85" t="str"/>
    </x:row>
    <x:row r="71" ht="61" customHeight="1">
      <x:c r="A71" s="85" t="str">
        <x:v>Benchmarks</x:v>
      </x:c>
      <x:c r="B71" s="85" t="str">
        <x:v>RLBench</x:v>
      </x:c>
      <x:c r="C71" s="85" t="str">
        <x:v>rlbench</x:v>
      </x:c>
      <x:c r="D71" s="85" t="str">
        <x:v>R164</x:v>
      </x:c>
      <x:c r="E71" s="85" t="str">
        <x:v>Dataset / benchmark</x:v>
      </x:c>
      <x:c r="F71" s="85" t="str">
        <x:v>Proposed include</x:v>
      </x:c>
      <x:c r="G71" s="85" t="str">
        <x:v>RLBench: The robot learning benchmark &amp; learning environment</x:v>
      </x:c>
      <x:c r="H71" s="92" t="str">
        <x:v>https://arxiv.org/abs/1909.12271</x:v>
      </x:c>
      <x:c r="I71" s="85" t="str"/>
    </x:row>
    <x:row r="72" ht="61" customHeight="1">
      <x:c r="A72" s="85" t="str">
        <x:v>Benchmarks</x:v>
      </x:c>
      <x:c r="B72" s="85" t="str">
        <x:v>ManiSkill3</x:v>
      </x:c>
      <x:c r="C72" s="85" t="str">
        <x:v>maniskill3</x:v>
      </x:c>
      <x:c r="D72" s="85" t="str">
        <x:v>R158</x:v>
      </x:c>
      <x:c r="E72" s="85" t="str">
        <x:v>Dataset / benchmark</x:v>
      </x:c>
      <x:c r="F72" s="85" t="str">
        <x:v>Proposed include</x:v>
      </x:c>
      <x:c r="G72" s="85" t="str">
        <x:v>ManiSkill3: GPU parallelized robotics simulation and rendering for generalizable embodied AI</x:v>
      </x:c>
      <x:c r="H72" s="92" t="str">
        <x:v>https://arxiv.org/abs/2410.00425</x:v>
      </x:c>
      <x:c r="I72" s="85" t="str"/>
    </x:row>
    <x:row r="73" ht="61" customHeight="1">
      <x:c r="A73" s="85" t="str">
        <x:v>Benchmarks</x:v>
      </x:c>
      <x:c r="B73" s="85" t="str">
        <x:v>RoboCasa</x:v>
      </x:c>
      <x:c r="C73" s="85" t="str">
        <x:v>robocasa</x:v>
      </x:c>
      <x:c r="D73" s="85" t="str">
        <x:v>R166</x:v>
      </x:c>
      <x:c r="E73" s="85" t="str">
        <x:v>Dataset / benchmark</x:v>
      </x:c>
      <x:c r="F73" s="85" t="str">
        <x:v>Proposed include</x:v>
      </x:c>
      <x:c r="G73" s="85" t="str">
        <x:v>RoboCasa: Large-scale simulation of everyday tasks for generalist robots</x:v>
      </x:c>
      <x:c r="H73" s="92" t="str">
        <x:v>https://arxiv.org/abs/2406.02523</x:v>
      </x:c>
      <x:c r="I73" s="85" t="str"/>
    </x:row>
    <x:row r="74" ht="61" customHeight="1">
      <x:c r="A74" s="85" t="str">
        <x:v>Benchmarks</x:v>
      </x:c>
      <x:c r="B74" s="85" t="str">
        <x:v>Meta-World</x:v>
      </x:c>
      <x:c r="C74" s="85" t="str">
        <x:v>metaworld</x:v>
      </x:c>
      <x:c r="D74" s="85" t="str">
        <x:v>R159</x:v>
      </x:c>
      <x:c r="E74" s="85" t="str">
        <x:v>Dataset / benchmark</x:v>
      </x:c>
      <x:c r="F74" s="85" t="str">
        <x:v>Proposed include</x:v>
      </x:c>
      <x:c r="G74" s="85" t="str">
        <x:v>Meta-world: A benchmark and evaluation for multi-task and meta reinforcement learning</x:v>
      </x:c>
      <x:c r="H74" s="92" t="str">
        <x:v>https://arxiv.org/abs/1910.10897</x:v>
      </x:c>
      <x:c r="I74" s="85" t="str"/>
    </x:row>
    <x:row r="75" ht="61" customHeight="1">
      <x:c r="A75" s="85" t="str">
        <x:v>Benchmarks</x:v>
      </x:c>
      <x:c r="B75" s="85" t="str">
        <x:v>RoboArena</x:v>
      </x:c>
      <x:c r="C75" s="85" t="str">
        <x:v>roboarena</x:v>
      </x:c>
      <x:c r="D75" s="85" t="str">
        <x:v>R165</x:v>
      </x:c>
      <x:c r="E75" s="85" t="str">
        <x:v>Dataset / benchmark</x:v>
      </x:c>
      <x:c r="F75" s="85" t="str">
        <x:v>Proposed include</x:v>
      </x:c>
      <x:c r="G75" s="85" t="str">
        <x:v>RoboArena: Distributed real-world evaluation of generalist robot policies</x:v>
      </x:c>
      <x:c r="H75" s="92" t="str">
        <x:v>https://arxiv.org/abs/2506.18123</x:v>
      </x:c>
      <x:c r="I75" s="85" t="str"/>
    </x:row>
    <x:row r="76" ht="61" customHeight="1">
      <x:c r="A76" s="85" t="str">
        <x:v>Benchmarks</x:v>
      </x:c>
      <x:c r="B76" s="85" t="str">
        <x:v>OXE, DROID, BridgeData V2, and AgiBot World</x:v>
      </x:c>
      <x:c r="C76" s="85" t="str">
        <x:v>oxe</x:v>
      </x:c>
      <x:c r="D76" s="85" t="str">
        <x:v>R161</x:v>
      </x:c>
      <x:c r="E76" s="85" t="str">
        <x:v>Dataset / benchmark</x:v>
      </x:c>
      <x:c r="F76" s="85" t="str">
        <x:v>Proposed include</x:v>
      </x:c>
      <x:c r="G76" s="85" t="str">
        <x:v>Open X-Embodiment: Robotic learning datasets and RT-X models</x:v>
      </x:c>
      <x:c r="H76" s="92" t="str">
        <x:v>https://arxiv.org/abs/2310.08864</x:v>
      </x:c>
      <x:c r="I76" s="85" t="str"/>
    </x:row>
    <x:row r="77" ht="61" customHeight="1">
      <x:c r="A77" s="85" t="str">
        <x:v>Benchmarks</x:v>
      </x:c>
      <x:c r="B77" s="85" t="str">
        <x:v>OXE, DROID, BridgeData V2, and AgiBot World</x:v>
      </x:c>
      <x:c r="C77" s="85" t="str">
        <x:v>droid</x:v>
      </x:c>
      <x:c r="D77" s="85" t="str">
        <x:v>R150</x:v>
      </x:c>
      <x:c r="E77" s="85" t="str">
        <x:v>Dataset / benchmark</x:v>
      </x:c>
      <x:c r="F77" s="85" t="str">
        <x:v>Proposed include</x:v>
      </x:c>
      <x:c r="G77" s="85" t="str">
        <x:v>DROID: A large-scale in-the-wild robot manipulation dataset</x:v>
      </x:c>
      <x:c r="H77" s="92" t="str">
        <x:v>https://arxiv.org/abs/2403.12945</x:v>
      </x:c>
      <x:c r="I77" s="85" t="str"/>
    </x:row>
    <x:row r="78" ht="61" customHeight="1">
      <x:c r="A78" s="85" t="str">
        <x:v>Benchmarks</x:v>
      </x:c>
      <x:c r="B78" s="85" t="str">
        <x:v>OXE, DROID, BridgeData V2, and AgiBot World</x:v>
      </x:c>
      <x:c r="C78" s="85" t="str">
        <x:v>bridgedata</x:v>
      </x:c>
      <x:c r="D78" s="85" t="str">
        <x:v>R146</x:v>
      </x:c>
      <x:c r="E78" s="85" t="str">
        <x:v>Dataset / benchmark</x:v>
      </x:c>
      <x:c r="F78" s="85" t="str">
        <x:v>Proposed include</x:v>
      </x:c>
      <x:c r="G78" s="85" t="str">
        <x:v>BridgeData V2: A dataset for robot learning at scale</x:v>
      </x:c>
      <x:c r="H78" s="92" t="str">
        <x:v>https://arxiv.org/abs/2308.12952</x:v>
      </x:c>
      <x:c r="I78" s="85" t="str"/>
    </x:row>
    <x:row r="79" ht="61" customHeight="1">
      <x:c r="A79" s="85" t="str">
        <x:v>Benchmarks</x:v>
      </x:c>
      <x:c r="B79" s="85" t="str">
        <x:v>OXE, DROID, BridgeData V2, and AgiBot World</x:v>
      </x:c>
      <x:c r="C79" s="85" t="str">
        <x:v>agibotworld</x:v>
      </x:c>
      <x:c r="D79" s="85" t="str">
        <x:v>R144</x:v>
      </x:c>
      <x:c r="E79" s="85" t="str">
        <x:v>Dataset / benchmark</x:v>
      </x:c>
      <x:c r="F79" s="85" t="str">
        <x:v>Proposed include</x:v>
      </x:c>
      <x:c r="G79" s="85" t="str">
        <x:v>AgiBot World Colosseo: A large-scale manipulation platform for scalable and intelligent embodied systems</x:v>
      </x:c>
      <x:c r="H79" s="92" t="str">
        <x:v>https://arxiv.org/abs/2503.06669</x:v>
      </x:c>
      <x:c r="I79" s="85" t="str"/>
    </x:row>
    <x:row r="80" ht="61" customHeight="1">
      <x:c r="A80" s="85" t="str">
        <x:v>Benchmarks</x:v>
      </x:c>
      <x:c r="B80" s="85" t="str">
        <x:v>WorldModelBench [P]</x:v>
      </x:c>
      <x:c r="C80" s="85" t="str">
        <x:v>wmbench</x:v>
      </x:c>
      <x:c r="D80" s="85" t="str">
        <x:v>R182</x:v>
      </x:c>
      <x:c r="E80" s="85" t="str">
        <x:v>Dataset / benchmark</x:v>
      </x:c>
      <x:c r="F80" s="85" t="str">
        <x:v>Background</x:v>
      </x:c>
      <x:c r="G80" s="85" t="str">
        <x:v>WorldModelBench: Judging video generation models as world models</x:v>
      </x:c>
      <x:c r="H80" s="92" t="str">
        <x:v>https://arxiv.org/abs/2502.20694</x:v>
      </x:c>
      <x:c r="I80" s="85" t="str"/>
    </x:row>
    <x:row r="81" ht="61" customHeight="1">
      <x:c r="A81" s="85" t="str">
        <x:v>Benchmarks</x:v>
      </x:c>
      <x:c r="B81" s="85" t="str">
        <x:v>Physics-IQ</x:v>
      </x:c>
      <x:c r="C81" s="85" t="str">
        <x:v>physicsiq</x:v>
      </x:c>
      <x:c r="D81" s="85" t="str">
        <x:v>R179</x:v>
      </x:c>
      <x:c r="E81" s="85" t="str">
        <x:v>Dataset / benchmark</x:v>
      </x:c>
      <x:c r="F81" s="85" t="str">
        <x:v>Background</x:v>
      </x:c>
      <x:c r="G81" s="85" t="str">
        <x:v>Do generative video models understand physical principles?</x:v>
      </x:c>
      <x:c r="H81" s="92" t="str">
        <x:v>https://arxiv.org/abs/2501.09038</x:v>
      </x:c>
      <x:c r="I81" s="85" t="str"/>
    </x:row>
    <x:row r="82" ht="61" customHeight="1">
      <x:c r="A82" s="85" t="str">
        <x:v>Benchmarks</x:v>
      </x:c>
      <x:c r="B82" s="85" t="str">
        <x:v>VBench-2.0</x:v>
      </x:c>
      <x:c r="C82" s="85" t="str">
        <x:v>vbench2</x:v>
      </x:c>
      <x:c r="D82" s="85" t="str">
        <x:v>R180</x:v>
      </x:c>
      <x:c r="E82" s="85" t="str">
        <x:v>Dataset / benchmark</x:v>
      </x:c>
      <x:c r="F82" s="85" t="str">
        <x:v>Background</x:v>
      </x:c>
      <x:c r="G82" s="85" t="str">
        <x:v>VBench-2.0: Advancing video generation benchmark suite for intrinsic faithfulness</x:v>
      </x:c>
      <x:c r="H82" s="92" t="str">
        <x:v>https://arxiv.org/abs/2503.21755</x:v>
      </x:c>
      <x:c r="I82" s="85" t="str"/>
    </x:row>
    <x:row r="83" ht="61" customHeight="1">
      <x:c r="A83" s="85" t="str">
        <x:v>Benchmarks</x:v>
      </x:c>
      <x:c r="B83" s="85" t="str">
        <x:v>EWMBench</x:v>
      </x:c>
      <x:c r="C83" s="85" t="str">
        <x:v>genieenvisioner</x:v>
      </x:c>
      <x:c r="D83" s="85" t="str">
        <x:v>R104</x:v>
      </x:c>
      <x:c r="E83" s="85" t="str">
        <x:v>World model</x:v>
      </x:c>
      <x:c r="F83" s="85" t="str">
        <x:v>Proposed include</x:v>
      </x:c>
      <x:c r="G83" s="85" t="str">
        <x:v>Genie envisioner: A unified world foundation platform for robotic manipulation</x:v>
      </x:c>
      <x:c r="H83" s="92" t="str">
        <x:v>https://arxiv.org/abs/2508.05635</x:v>
      </x:c>
      <x:c r="I83" s="85" t="str">
        <x:v>Citation mismatch: table cites Genie Envisioner. Standalone EWMBench paper: R151; https://arxiv.org/abs/2505.09694</x:v>
      </x:c>
    </x:row>
    <x:row r="84" ht="61" customHeight="1">
      <x:c r="A84" s="85" t="str">
        <x:v>Benchmarks</x:v>
      </x:c>
      <x:c r="B84" s="85" t="str">
        <x:v>WorldArena</x:v>
      </x:c>
      <x:c r="C84" s="85" t="str">
        <x:v>worldarena</x:v>
      </x:c>
      <x:c r="D84" s="85" t="str">
        <x:v>R175</x:v>
      </x:c>
      <x:c r="E84" s="85" t="str">
        <x:v>Dataset / benchmark</x:v>
      </x:c>
      <x:c r="F84" s="85" t="str">
        <x:v>Proposed include</x:v>
      </x:c>
      <x:c r="G84" s="85" t="str">
        <x:v>WorldArena: A unified benchmark for evaluating perception and functional utility of embodied world models</x:v>
      </x:c>
      <x:c r="H84" s="92" t="str">
        <x:v>https://arxiv.org/abs/2602.08971</x:v>
      </x:c>
      <x:c r="I84" s="85" t="str"/>
    </x:row>
    <x:row r="85" ht="61" customHeight="1">
      <x:c r="A85" s="85" t="str">
        <x:v>Benchmarks</x:v>
      </x:c>
      <x:c r="B85" s="85" t="str">
        <x:v>WorldArena 2.0</x:v>
      </x:c>
      <x:c r="C85" s="85" t="str">
        <x:v>shang2026worldarena2</x:v>
      </x:c>
      <x:c r="D85" s="85" t="str">
        <x:v>R176</x:v>
      </x:c>
      <x:c r="E85" s="85" t="str">
        <x:v>Dataset / benchmark</x:v>
      </x:c>
      <x:c r="F85" s="85" t="str">
        <x:v>Proposed include</x:v>
      </x:c>
      <x:c r="G85" s="85" t="str">
        <x:v>WorldArena 2.0: Extending embodied world model benchmarking on modality, functionality and platform</x:v>
      </x:c>
      <x:c r="H85" s="92" t="str">
        <x:v>https://arxiv.org/abs/2605.17912</x:v>
      </x:c>
      <x:c r="I85" s="85" t="str"/>
    </x:row>
    <x:row r="86" ht="61" customHeight="1">
      <x:c r="A86" s="85" t="str">
        <x:v>Benchmarks</x:v>
      </x:c>
      <x:c r="B86" s="85" t="str">
        <x:v>ManipArena</x:v>
      </x:c>
      <x:c r="C86" s="85" t="str">
        <x:v>maniparena</x:v>
      </x:c>
      <x:c r="D86" s="85" t="str">
        <x:v>R157</x:v>
      </x:c>
      <x:c r="E86" s="85" t="str">
        <x:v>Dataset / benchmark</x:v>
      </x:c>
      <x:c r="F86" s="85" t="str">
        <x:v>Proposed include</x:v>
      </x:c>
      <x:c r="G86" s="85" t="str">
        <x:v>ManipArena: Comprehensive real-world evaluation of reasoning-oriented generalist robot manipulation</x:v>
      </x:c>
      <x:c r="H86" s="92" t="str">
        <x:v>https://arxiv.org/abs/2603.28545</x:v>
      </x:c>
      <x:c r="I86" s="85" t="str"/>
    </x:row>
    <x:row r="87" ht="61" customHeight="1">
      <x:c r="A87" s="85" t="str">
        <x:v>Training datasets</x:v>
      </x:c>
      <x:c r="B87" s="85" t="str">
        <x:v>Open X-Embodiment</x:v>
      </x:c>
      <x:c r="C87" s="85" t="str">
        <x:v>oxe</x:v>
      </x:c>
      <x:c r="D87" s="85" t="str">
        <x:v>R161</x:v>
      </x:c>
      <x:c r="E87" s="85" t="str">
        <x:v>Dataset / benchmark</x:v>
      </x:c>
      <x:c r="F87" s="85" t="str">
        <x:v>Proposed include</x:v>
      </x:c>
      <x:c r="G87" s="85" t="str">
        <x:v>Open X-Embodiment: Robotic learning datasets and RT-X models</x:v>
      </x:c>
      <x:c r="H87" s="92" t="str">
        <x:v>https://arxiv.org/abs/2310.08864</x:v>
      </x:c>
      <x:c r="I87" s="85" t="str"/>
    </x:row>
    <x:row r="88" ht="61" customHeight="1">
      <x:c r="A88" s="85" t="str">
        <x:v>Training datasets</x:v>
      </x:c>
      <x:c r="B88" s="85" t="str">
        <x:v>DROID</x:v>
      </x:c>
      <x:c r="C88" s="85" t="str">
        <x:v>droid</x:v>
      </x:c>
      <x:c r="D88" s="85" t="str">
        <x:v>R150</x:v>
      </x:c>
      <x:c r="E88" s="85" t="str">
        <x:v>Dataset / benchmark</x:v>
      </x:c>
      <x:c r="F88" s="85" t="str">
        <x:v>Proposed include</x:v>
      </x:c>
      <x:c r="G88" s="85" t="str">
        <x:v>DROID: A large-scale in-the-wild robot manipulation dataset</x:v>
      </x:c>
      <x:c r="H88" s="92" t="str">
        <x:v>https://arxiv.org/abs/2403.12945</x:v>
      </x:c>
      <x:c r="I88" s="85" t="str"/>
    </x:row>
    <x:row r="89" ht="61" customHeight="1">
      <x:c r="A89" s="85" t="str">
        <x:v>Training datasets</x:v>
      </x:c>
      <x:c r="B89" s="85" t="str">
        <x:v>BridgeData V2</x:v>
      </x:c>
      <x:c r="C89" s="85" t="str">
        <x:v>bridgedata</x:v>
      </x:c>
      <x:c r="D89" s="85" t="str">
        <x:v>R146</x:v>
      </x:c>
      <x:c r="E89" s="85" t="str">
        <x:v>Dataset / benchmark</x:v>
      </x:c>
      <x:c r="F89" s="85" t="str">
        <x:v>Proposed include</x:v>
      </x:c>
      <x:c r="G89" s="85" t="str">
        <x:v>BridgeData V2: A dataset for robot learning at scale</x:v>
      </x:c>
      <x:c r="H89" s="92" t="str">
        <x:v>https://arxiv.org/abs/2308.12952</x:v>
      </x:c>
      <x:c r="I89" s="85" t="str"/>
    </x:row>
    <x:row r="90" ht="61" customHeight="1">
      <x:c r="A90" s="85" t="str">
        <x:v>Training datasets</x:v>
      </x:c>
      <x:c r="B90" s="85" t="str">
        <x:v>AgiBot World</x:v>
      </x:c>
      <x:c r="C90" s="85" t="str">
        <x:v>agibotworld</x:v>
      </x:c>
      <x:c r="D90" s="85" t="str">
        <x:v>R144</x:v>
      </x:c>
      <x:c r="E90" s="85" t="str">
        <x:v>Dataset / benchmark</x:v>
      </x:c>
      <x:c r="F90" s="85" t="str">
        <x:v>Proposed include</x:v>
      </x:c>
      <x:c r="G90" s="85" t="str">
        <x:v>AgiBot World Colosseo: A large-scale manipulation platform for scalable and intelligent embodied systems</x:v>
      </x:c>
      <x:c r="H90" s="92" t="str">
        <x:v>https://arxiv.org/abs/2503.06669</x:v>
      </x:c>
      <x:c r="I90" s="85" t="str"/>
    </x:row>
    <x:row r="91" ht="61" customHeight="1">
      <x:c r="A91" s="85" t="str">
        <x:v>Training datasets</x:v>
      </x:c>
      <x:c r="B91" s="85" t="str">
        <x:v>LeRobot</x:v>
      </x:c>
      <x:c r="C91" s="85" t="str">
        <x:v>cadene2026lerobot</x:v>
      </x:c>
      <x:c r="D91" s="85" t="str">
        <x:v>R178</x:v>
      </x:c>
      <x:c r="E91" s="85" t="str">
        <x:v>Dataset / benchmark</x:v>
      </x:c>
      <x:c r="F91" s="85" t="str">
        <x:v>Background</x:v>
      </x:c>
      <x:c r="G91" s="85" t="str">
        <x:v>LeRobot: An open-source library for end-to-end robot learning</x:v>
      </x:c>
      <x:c r="H91" s="92" t="str">
        <x:v>https://arxiv.org/abs/2602.22818</x:v>
      </x:c>
      <x:c r="I91" s="85" t="str"/>
    </x:row>
    <x:row r="92" ht="61" customHeight="1">
      <x:c r="A92" s="85" t="str">
        <x:v>Training datasets</x:v>
      </x:c>
      <x:c r="B92" s="85" t="str">
        <x:v>Ego4D</x:v>
      </x:c>
      <x:c r="C92" s="85" t="str">
        <x:v>ego4d</x:v>
      </x:c>
      <x:c r="D92" s="85" t="str">
        <x:v>R177</x:v>
      </x:c>
      <x:c r="E92" s="85" t="str">
        <x:v>Dataset / benchmark</x:v>
      </x:c>
      <x:c r="F92" s="85" t="str">
        <x:v>Background</x:v>
      </x:c>
      <x:c r="G92" s="85" t="str">
        <x:v>Ego4D: Around the world in 3,000 hours of egocentric video</x:v>
      </x:c>
      <x:c r="H92" s="92" t="str">
        <x:v>https://arxiv.org/abs/2110.07058</x:v>
      </x:c>
      <x:c r="I92" s="85" t="str"/>
    </x:row>
    <x:row r="93" ht="61" customHeight="1">
      <x:c r="A93" s="85" t="str">
        <x:v>Training datasets</x:v>
      </x:c>
      <x:c r="B93" s="85" t="str">
        <x:v>VideoMix22M</x:v>
      </x:c>
      <x:c r="C93" s="85" t="str">
        <x:v>vjepa2</x:v>
      </x:c>
      <x:c r="D93" s="85" t="str">
        <x:v>R124</x:v>
      </x:c>
      <x:c r="E93" s="85" t="str">
        <x:v>World model</x:v>
      </x:c>
      <x:c r="F93" s="85" t="str">
        <x:v>Proposed include</x:v>
      </x:c>
      <x:c r="G93" s="85" t="str">
        <x:v>V-JEPA 2: Self-supervised video models enable understanding, prediction and planning</x:v>
      </x:c>
      <x:c r="H93" s="92" t="str">
        <x:v>https://arxiv.org/abs/2506.09985</x:v>
      </x:c>
      <x:c r="I93" s="85" t="str"/>
    </x:row>
    <x:row r="94" ht="61" customHeight="1">
      <x:c r="A94" s="85" t="str">
        <x:v>Training datasets</x:v>
      </x:c>
      <x:c r="B94" s="85" t="str">
        <x:v>DreamGen traj.</x:v>
      </x:c>
      <x:c r="C94" s="85" t="str">
        <x:v>dreamgen</x:v>
      </x:c>
      <x:c r="D94" s="85" t="str">
        <x:v>R098</x:v>
      </x:c>
      <x:c r="E94" s="85" t="str">
        <x:v>World model</x:v>
      </x:c>
      <x:c r="F94" s="85" t="str">
        <x:v>Proposed include</x:v>
      </x:c>
      <x:c r="G94" s="85" t="str">
        <x:v>DreamGen: Unlocking generalization in robot learning through video world models</x:v>
      </x:c>
      <x:c r="H94" s="92" t="str">
        <x:v>https://arxiv.org/abs/2505.12705</x:v>
      </x:c>
      <x:c r="I94" s="85" t="str"/>
    </x:row>
    <x:row r="95" ht="61" customHeight="1">
      <x:c r="A95" s="85" t="str">
        <x:v>VLA master</x:v>
      </x:c>
      <x:c r="B95" s="85" t="str">
        <x:v>Seer</x:v>
      </x:c>
      <x:c r="C95" s="85" t="str">
        <x:v>seer</x:v>
      </x:c>
      <x:c r="D95" s="85" t="str">
        <x:v>R208</x:v>
      </x:c>
      <x:c r="E95" s="85" t="str">
        <x:v>VLA</x:v>
      </x:c>
      <x:c r="F95" s="85" t="str">
        <x:v>Proposed include</x:v>
      </x:c>
      <x:c r="G95" s="85" t="str">
        <x:v>Predictive Inverse Dynamics Models are Scalable Learners for Robotic Manipulation</x:v>
      </x:c>
      <x:c r="H95" s="92" t="str">
        <x:v>https://arxiv.org/abs/2412.15109</x:v>
      </x:c>
      <x:c r="I95" s="85" t="str">
        <x:v>Added to manuscript master table on 2 October 2026 after author approval.</x:v>
      </x:c>
    </x:row>
    <x:row r="96" ht="61" customHeight="1">
      <x:c r="A96" s="85" t="str">
        <x:v>VLA master</x:v>
      </x:c>
      <x:c r="B96" s="85" t="str">
        <x:v>VPP</x:v>
      </x:c>
      <x:c r="C96" s="85" t="str">
        <x:v>vpp</x:v>
      </x:c>
      <x:c r="D96" s="85" t="str">
        <x:v>R209</x:v>
      </x:c>
      <x:c r="E96" s="85" t="str">
        <x:v>VLA</x:v>
      </x:c>
      <x:c r="F96" s="85" t="str">
        <x:v>Proposed include</x:v>
      </x:c>
      <x:c r="G96" s="85" t="str">
        <x:v>Video Prediction Policy: A Generalist Robot Policy with Predictive Visual Representations</x:v>
      </x:c>
      <x:c r="H96" s="92" t="str">
        <x:v>https://arxiv.org/abs/2412.14803</x:v>
      </x:c>
      <x:c r="I96" s="85" t="str">
        <x:v>Added to manuscript master table on 2 October 2026 after author approval.</x:v>
      </x:c>
    </x:row>
    <x:row r="97" ht="61" customHeight="1">
      <x:c r="A97" s="85" t="str">
        <x:v>World model master</x:v>
      </x:c>
      <x:c r="B97" s="85" t="str">
        <x:v>Unified World Models</x:v>
      </x:c>
      <x:c r="C97" s="85" t="str">
        <x:v>uwm</x:v>
      </x:c>
      <x:c r="D97" s="85" t="str">
        <x:v>R210</x:v>
      </x:c>
      <x:c r="E97" s="85" t="str">
        <x:v>World model</x:v>
      </x:c>
      <x:c r="F97" s="85" t="str">
        <x:v>Proposed include</x:v>
      </x:c>
      <x:c r="G97" s="85" t="str">
        <x:v>Unified World Models: Coupling Video and Action Diffusion for Pretraining on Large Robotic Datasets</x:v>
      </x:c>
      <x:c r="H97" s="92" t="str">
        <x:v>https://arxiv.org/abs/2504.02792</x:v>
      </x:c>
      <x:c r="I97" s="85" t="str">
        <x:v>Added to manuscript master table on 2 October 2026 after author approval.</x:v>
      </x:c>
    </x:row>
  </x:sheetData>
  <x:hyperlinks>
    <x:hyperlink ref="H2" r:id="primarySourceH2"/>
    <x:hyperlink ref="H3" r:id="primarySourceH3"/>
    <x:hyperlink ref="H4" r:id="primarySourceH4"/>
    <x:hyperlink ref="H5" r:id="primarySourceH5"/>
    <x:hyperlink ref="H6" r:id="primarySourceH6"/>
    <x:hyperlink ref="H7" r:id="primarySourceH7"/>
    <x:hyperlink ref="H8" r:id="primarySourceH8"/>
    <x:hyperlink ref="H9" r:id="primarySourceH9"/>
    <x:hyperlink ref="H10" r:id="primarySourceH10"/>
    <x:hyperlink ref="H11" r:id="primarySourceH11"/>
    <x:hyperlink ref="H12" r:id="primarySourceH12"/>
    <x:hyperlink ref="H13" r:id="primarySourceH13"/>
    <x:hyperlink ref="H14" r:id="primarySourceH14"/>
    <x:hyperlink ref="H15" r:id="primarySourceH15"/>
    <x:hyperlink ref="H16" r:id="primarySourceH16"/>
    <x:hyperlink ref="H17" r:id="primarySourceH17"/>
    <x:hyperlink ref="H18" r:id="primarySourceH18"/>
    <x:hyperlink ref="H19" r:id="primarySourceH19"/>
    <x:hyperlink ref="H20" r:id="primarySourceH20"/>
    <x:hyperlink ref="H21" r:id="primarySourceH21"/>
    <x:hyperlink ref="H22" r:id="primarySourceH22"/>
    <x:hyperlink ref="H23" r:id="primarySourceH23"/>
    <x:hyperlink ref="H24" r:id="primarySourceH24"/>
    <x:hyperlink ref="H25" r:id="primarySourceH25"/>
    <x:hyperlink ref="H26" r:id="primarySourceH26"/>
    <x:hyperlink ref="H27" r:id="primarySourceH27"/>
    <x:hyperlink ref="H28" r:id="primarySourceH28"/>
    <x:hyperlink ref="H29" r:id="primarySourceH29"/>
    <x:hyperlink ref="H30" r:id="primarySourceH30"/>
    <x:hyperlink ref="H31" r:id="primarySourceH31"/>
    <x:hyperlink ref="H32" r:id="primarySourceH32"/>
    <x:hyperlink ref="H33" r:id="primarySourceH33"/>
    <x:hyperlink ref="H34" r:id="primarySourceH34"/>
    <x:hyperlink ref="H35" r:id="primarySourceH35"/>
    <x:hyperlink ref="H36" r:id="primarySourceH36"/>
    <x:hyperlink ref="H37" r:id="primarySourceH37"/>
    <x:hyperlink ref="H38" r:id="primarySourceH38"/>
    <x:hyperlink ref="H39" r:id="primarySourceH39"/>
    <x:hyperlink ref="H40" r:id="primarySourceH40"/>
    <x:hyperlink ref="H41" r:id="primarySourceH41"/>
    <x:hyperlink ref="H42" r:id="primarySourceH42"/>
    <x:hyperlink ref="H43" r:id="primarySourceH43"/>
    <x:hyperlink ref="H44" r:id="primarySourceH44"/>
    <x:hyperlink ref="H45" r:id="primarySourceH45"/>
    <x:hyperlink ref="H46" r:id="primarySourceH46"/>
    <x:hyperlink ref="H47" r:id="primarySourceH47"/>
    <x:hyperlink ref="H48" r:id="primarySourceH48"/>
    <x:hyperlink ref="H49" r:id="primarySourceH49"/>
    <x:hyperlink ref="H50" r:id="primarySourceH50"/>
    <x:hyperlink ref="H51" r:id="primarySourceH51"/>
    <x:hyperlink ref="H52" r:id="primarySourceH52"/>
    <x:hyperlink ref="H53" r:id="primarySourceH53"/>
    <x:hyperlink ref="H54" r:id="primarySourceH54"/>
    <x:hyperlink ref="H55" r:id="primarySourceH55"/>
    <x:hyperlink ref="H56" r:id="primarySourceH56"/>
    <x:hyperlink ref="H57" r:id="primarySourceH57"/>
    <x:hyperlink ref="H58" r:id="primarySourceH58"/>
    <x:hyperlink ref="H59" r:id="primarySourceH59"/>
    <x:hyperlink ref="H60" r:id="primarySourceH60"/>
    <x:hyperlink ref="H61" r:id="primarySourceH61"/>
    <x:hyperlink ref="H62" r:id="primarySourceH62"/>
    <x:hyperlink ref="H63" r:id="primarySourceH63"/>
    <x:hyperlink ref="H64" r:id="primarySourceH64"/>
    <x:hyperlink ref="H65" r:id="primarySourceH65"/>
    <x:hyperlink ref="H66" r:id="primarySourceH66"/>
    <x:hyperlink ref="H67" r:id="primarySourceH67"/>
    <x:hyperlink ref="H68" r:id="primarySourceH68"/>
    <x:hyperlink ref="H69" r:id="primarySourceH69"/>
    <x:hyperlink ref="H70" r:id="primarySourceH70"/>
    <x:hyperlink ref="H71" r:id="primarySourceH71"/>
    <x:hyperlink ref="H72" r:id="primarySourceH72"/>
    <x:hyperlink ref="H73" r:id="primarySourceH73"/>
    <x:hyperlink ref="H74" r:id="primarySourceH74"/>
    <x:hyperlink ref="H75" r:id="primarySourceH75"/>
    <x:hyperlink ref="H76" r:id="primarySourceH76"/>
    <x:hyperlink ref="H77" r:id="primarySourceH77"/>
    <x:hyperlink ref="H78" r:id="primarySourceH78"/>
    <x:hyperlink ref="H79" r:id="primarySourceH79"/>
    <x:hyperlink ref="H80" r:id="primarySourceH80"/>
    <x:hyperlink ref="H81" r:id="primarySourceH81"/>
    <x:hyperlink ref="H82" r:id="primarySourceH82"/>
    <x:hyperlink ref="H83" r:id="primarySourceH83"/>
    <x:hyperlink ref="H84" r:id="primarySourceH84"/>
    <x:hyperlink ref="H85" r:id="primarySourceH85"/>
    <x:hyperlink ref="H86" r:id="primarySourceH86"/>
    <x:hyperlink ref="H87" r:id="primarySourceH87"/>
    <x:hyperlink ref="H88" r:id="primarySourceH88"/>
    <x:hyperlink ref="H89" r:id="primarySourceH89"/>
    <x:hyperlink ref="H90" r:id="primarySourceH90"/>
    <x:hyperlink ref="H91" r:id="primarySourceH91"/>
    <x:hyperlink ref="H92" r:id="primarySourceH92"/>
    <x:hyperlink ref="H93" r:id="primarySourceH93"/>
    <x:hyperlink ref="H94" r:id="primarySourceH94"/>
    <x:hyperlink ref="H95" r:id="primarySourceH95"/>
    <x:hyperlink ref="H96" r:id="primarySourceH96"/>
    <x:hyperlink ref="H97" r:id="primarySourceH97"/>
  </x:hyperlinks>
  <x:pageMargins left="0.7" right="0.7" top="0.75" bottom="0.75" header="0.3" footer="0.3"/>
  <x:tableParts count="1">
    <x:tablePart r:id="Rb74435d8328e41ab"/>
  </x:tableParts>
</x:worksheet>
</file>

<file path=xl/worksheets/sheet16.xml><?xml version="1.0" encoding="utf-8"?>
<x:worksheet xmlns:r="http://schemas.openxmlformats.org/officeDocument/2006/relationships"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28" hidden="0" customWidth="1"/>
    <x:col min="3" max="3" width="94" hidden="0" customWidth="1"/>
    <x:col min="4" max="4" width="113" hidden="0" customWidth="1"/>
    <x:col min="5" max="5" width="113" hidden="0" customWidth="1"/>
  </x:cols>
  <x:sheetData>
    <x:row r="1" ht="33" customHeight="1">
      <x:c r="A1" s="89" t="str">
        <x:v>Search date</x:v>
      </x:c>
      <x:c r="B1" s="89" t="str">
        <x:v>Research category</x:v>
      </x:c>
      <x:c r="C1" s="89" t="str">
        <x:v>Search query / source check</x:v>
      </x:c>
      <x:c r="D1" s="89" t="str">
        <x:v>Primary source links</x:v>
      </x:c>
      <x:c r="E1" s="89" t="str">
        <x:v>Scope / outcome</x:v>
      </x:c>
    </x:row>
    <x:row r="2" ht="61" customHeight="1">
      <x:c r="A2" s="85" t="str">
        <x:v>2026-10-01</x:v>
      </x:c>
      <x:c r="B2" s="85" t="str">
        <x:v>VLA</x:v>
      </x:c>
      <x:c r="C2" s="85" t="str">
        <x:v>site.arxiv.org RoboVLMs generalist robot policies vision language action</x:v>
      </x:c>
      <x:c r="D2" s="85" t="str">
        <x:v>https://arxiv.org/abs/2412.14058; https://robovlms.github.io/</x:v>
      </x:c>
      <x:c r="E2" s="85" t="str">
        <x:v>Targeted search for a missing generalist VLA design study; primary arXiv record opened and checked.</x:v>
      </x:c>
    </x:row>
    <x:row r="3" ht="61" customHeight="1">
      <x:c r="A3" s="85" t="str">
        <x:v>2026-10-01</x:v>
      </x:c>
      <x:c r="B3" s="85" t="str">
        <x:v>VLA</x:v>
      </x:c>
      <x:c r="C3" s="85" t="str">
        <x:v>site.arxiv.org VLA adapter effective vision language action 2025</x:v>
      </x:c>
      <x:c r="D3" s="85" t="str">
        <x:v>https://arxiv.org/abs/2509.09372; https://github.com/OpenHelix-Team/VLA-Adapter</x:v>
      </x:c>
      <x:c r="E3" s="85" t="str">
        <x:v>Identified official repository and verified the linked paper; combined with the subsequent exact-name search.</x:v>
      </x:c>
    </x:row>
    <x:row r="4" ht="61" customHeight="1">
      <x:c r="A4" s="85" t="str">
        <x:v>2026-10-01</x:v>
      </x:c>
      <x:c r="B4" s="85" t="str">
        <x:v>VLA</x:v>
      </x:c>
      <x:c r="C4" s="85" t="str">
        <x:v>site.arxiv.org UniVLA learning to act anywhere task centric latent actions</x:v>
      </x:c>
      <x:c r="D4" s="85" t="str">
        <x:v>https://arxiv.org/abs/2505.06111; https://www.roboticsproceedings.org/rss21/p014.pdf</x:v>
      </x:c>
      <x:c r="E4" s="85" t="str">
        <x:v>Identified RSS report and checked arXiv identity, abstract and first-submission date.</x:v>
      </x:c>
    </x:row>
    <x:row r="5" ht="61" customHeight="1">
      <x:c r="A5" s="85" t="str">
        <x:v>2026-10-01</x:v>
      </x:c>
      <x:c r="B5" s="85" t="str">
        <x:v>VLA</x:v>
      </x:c>
      <x:c r="C5" s="85" t="str">
        <x:v>site.arxiv.org "TinyVLA" "RoboVLMs" "STAR" vision language action</x:v>
      </x:c>
      <x:c r="D5" s="85" t="str"/>
      <x:c r="E5" s="85" t="str">
        <x:v>Exploratory query; no new inclusion attributed solely to this query.</x:v>
      </x:c>
    </x:row>
    <x:row r="6" ht="61" customHeight="1">
      <x:c r="A6" s="85" t="str">
        <x:v>2026-10-01</x:v>
      </x:c>
      <x:c r="B6" s="85" t="str">
        <x:v>VLA</x:v>
      </x:c>
      <x:c r="C6" s="85" t="str">
        <x:v>site.arxiv.org "VLA-Adapter"</x:v>
      </x:c>
      <x:c r="D6" s="85" t="str">
        <x:v>https://arxiv.org/abs/2509.09372; https://vla-adapter.github.io/</x:v>
      </x:c>
      <x:c r="E6" s="85" t="str">
        <x:v>Exact-name supplementary lookup and primary-paper verification; secondary search hits were not treated as authoritative evidence.</x:v>
      </x:c>
    </x:row>
    <x:row r="7" ht="61" customHeight="1">
      <x:c r="A7" s="85" t="str">
        <x:v>2026-10-01</x:v>
      </x:c>
      <x:c r="B7" s="85" t="str">
        <x:v>VLA</x:v>
      </x:c>
      <x:c r="C7" s="85" t="str">
        <x:v>site.arxiv.org "VLA-0" "Vision-Language" models</x:v>
      </x:c>
      <x:c r="D7" s="85" t="str">
        <x:v>https://arxiv.org/abs/2510.13054; https://vla0.github.io/</x:v>
      </x:c>
      <x:c r="E7" s="85" t="str">
        <x:v>Identified VLA-0 and checked primary arXiv record; no performance ranking copied into the register.</x:v>
      </x:c>
    </x:row>
    <x:row r="8" ht="61" customHeight="1">
      <x:c r="A8" s="85" t="str">
        <x:v>2026-10-01</x:v>
      </x:c>
      <x:c r="B8" s="85" t="str">
        <x:v>VLA</x:v>
      </x:c>
      <x:c r="C8" s="85" t="str">
        <x:v>site.arxiv.org "HeteroVLA"</x:v>
      </x:c>
      <x:c r="D8" s="85" t="str"/>
      <x:c r="E8" s="85" t="str">
        <x:v>Exploratory query; no HeteroVLA record included because this search did not establish a primary source.</x:v>
      </x:c>
    </x:row>
    <x:row r="9" ht="61" customHeight="1">
      <x:c r="A9" s="85" t="str">
        <x:v>2026-10-01</x:v>
      </x:c>
      <x:c r="B9" s="85" t="str">
        <x:v>VLA</x:v>
      </x:c>
      <x:c r="C9" s="85" t="str">
        <x:v>Direct primary-source lookup: DiffusionVLA</x:v>
      </x:c>
      <x:c r="D9" s="85" t="str">
        <x:v>https://arxiv.org/abs/2412.03293</x:v>
      </x:c>
      <x:c r="E9" s="85" t="str">
        <x:v>Known candidate identity opened directly and verified against title, abstract and submission history; no invented web query.</x:v>
      </x:c>
    </x:row>
    <x:row r="10" ht="61" customHeight="1">
      <x:c r="A10" s="85" t="str">
        <x:v>2026-10-01</x:v>
      </x:c>
      <x:c r="B10" s="85" t="str">
        <x:v>VLA</x:v>
      </x:c>
      <x:c r="C10" s="85" t="str">
        <x:v>Direct primary-source follow-up: original LingBot-VLA</x:v>
      </x:c>
      <x:c r="D10" s="85" t="str">
        <x:v>https://arxiv.org/abs/2601.18692</x:v>
      </x:c>
      <x:c r="E10" s="85" t="str">
        <x:v>Candidate surfaced in the combined exploratory search output; primary record opened directly. Distinct from LingBot-VLA 2.0.</x:v>
      </x:c>
    </x:row>
    <x:row r="11" ht="69" customHeight="1">
      <x:c r="A11" s="85" t="str">
        <x:v>2026-10-01</x:v>
      </x:c>
      <x:c r="B11" s="85" t="str">
        <x:v>VLA</x:v>
      </x:c>
      <x:c r="C11" s="85" t="str">
        <x:v>Direct source checks for ambiguous policy interfaces and source types</x:v>
      </x:c>
      <x:c r="D11" s="85" t="str">
        <x:v>https://arxiv.org/html/2503.08950v1; https://arxiv.org/html/2407.15840v3; https://arxiv.org/html/2411.18623v2; https://arxiv.org/html/2412.09858v1; https://arxiv.org/html/2409.16578v2; https://arxiv.org/abs/2411.19309; https://deepmind.google/blog/gemini-robotics-on-device-brings-ai-to-local-robotic-devices/; https://research.nvidia.com/labs/gear/gr00t-n1_5/; https://www.figure.ai/news/helix; https://arxiv.org/abs/2412.07493v1</x:v>
      </x:c>
      <x:c r="E11" s="85" t="str">
        <x:v>Direct opens and in-document finds; not a database query. Resolved language-conditioning, manipulation scope, method subtype and non-paper technical-source classifications.</x:v>
      </x:c>
    </x:row>
    <x:row r="12" ht="61" customHeight="1">
      <x:c r="A12" s="85" t="str">
        <x:v>2026-10-01</x:v>
      </x:c>
      <x:c r="B12" s="85" t="str">
        <x:v>World model</x:v>
      </x:c>
      <x:c r="C12" s="85" t="str">
        <x:v>site.arxiv.org robot manipulation world model action conditioned RoboDreamer WoVoGen RoboDream 2024 2025</x:v>
      </x:c>
      <x:c r="D12" s="85" t="str">
        <x:v>https://arxiv.org/abs/2404.12377; https://arxiv.org/abs/2504.16464; https://arxiv.org/abs/2606.02577; https://arxiv.org/abs/2609.23578</x:v>
      </x:c>
      <x:c r="E12" s="85" t="str">
        <x:v>Targeted supplementary discovery, not exhaustive database retrieval. Followed primary arXiv records for identity, date and abstract-level eligibility. AR-WAM is an expanded-window September 2026 addition.</x:v>
      </x:c>
    </x:row>
    <x:row r="13" ht="61" customHeight="1">
      <x:c r="A13" s="85" t="str">
        <x:v>2026-10-01</x:v>
      </x:c>
      <x:c r="B13" s="85" t="str">
        <x:v>World model</x:v>
      </x:c>
      <x:c r="C13" s="85" t="str">
        <x:v>site.arxiv.org world model manipulation AVID RoboDreamer GRWM 2025</x:v>
      </x:c>
      <x:c r="D13" s="85" t="str">
        <x:v>https://arxiv.org/abs/2505.10075; https://arxiv.org/abs/2505.11528; https://arxiv.org/abs/2509.22642; https://arxiv.org/abs/2406.14540</x:v>
      </x:c>
      <x:c r="E13" s="85" t="str">
        <x:v>Discovered FlowDreamer, LaDi-WM, WoW and IRASim; primary records subsequently opened. Non-primary aggregator results were not used as final evidence. Other search hits were discovery leads only, not reviewed as an exhaustive candidate pool.</x:v>
      </x:c>
    </x:row>
    <x:row r="14" ht="61" customHeight="1">
      <x:c r="A14" s="85" t="str">
        <x:v>2026-10-01</x:v>
      </x:c>
      <x:c r="B14" s="85" t="str">
        <x:v>World model</x:v>
      </x:c>
      <x:c r="C14" s="85" t="str">
        <x:v>site.arxiv.org/abs "HarmoWAM"</x:v>
      </x:c>
      <x:c r="D14" s="85" t="str">
        <x:v>https://arxiv.org/abs/2605.10942</x:v>
      </x:c>
      <x:c r="E14" s="85" t="str">
        <x:v>Verified current manuscript system identity, adaptive predictive/reactive mechanism and real-robot manipulation relevance from primary abstract.</x:v>
      </x:c>
    </x:row>
    <x:row r="15" ht="61" customHeight="1">
      <x:c r="A15" s="85" t="str">
        <x:v>2026-10-01</x:v>
      </x:c>
      <x:c r="B15" s="85" t="str">
        <x:v>World model</x:v>
      </x:c>
      <x:c r="C15" s="85" t="str">
        <x:v>site.arxiv.org/abs "LaWAM"</x:v>
      </x:c>
      <x:c r="D15" s="85" t="str">
        <x:v>https://arxiv.org/abs/2606.15768</x:v>
      </x:c>
      <x:c r="E15" s="85" t="str">
        <x:v>Search followed by direct primary arXiv open; checked title, latent-subgoal mechanism and manipulation relevance.</x:v>
      </x:c>
    </x:row>
    <x:row r="16" ht="61" customHeight="1">
      <x:c r="A16" s="85" t="str">
        <x:v>2026-10-01</x:v>
      </x:c>
      <x:c r="B16" s="85" t="str">
        <x:v>World model</x:v>
      </x:c>
      <x:c r="C16" s="85" t="str">
        <x:v>site.arxiv.org/abs "VLA-JEPA"</x:v>
      </x:c>
      <x:c r="D16" s="85" t="str">
        <x:v>https://arxiv.org/abs/2602.10098; https://ginwind.github.io/VLA-JEPA/</x:v>
      </x:c>
      <x:c r="E16" s="85" t="str">
        <x:v>Checked primary abstract and official Method Overview; distinguished future supervision from future-frame inputs. Other search results were not incorporated into this finite supplemental set.</x:v>
      </x:c>
    </x:row>
    <x:row r="17" ht="61" customHeight="1">
      <x:c r="A17" s="85" t="str">
        <x:v>2026-10-01</x:v>
      </x:c>
      <x:c r="B17" s="85" t="str">
        <x:v>World model</x:v>
      </x:c>
      <x:c r="C17" s="85" t="str">
        <x:v>site.arxiv.org/abs "TouchWorld" "Tactile-WAM"</x:v>
      </x:c>
      <x:c r="D17" s="85" t="str">
        <x:v>https://arxiv.org/abs/2607.07287; https://arxiv.org/abs/2606.26663</x:v>
      </x:c>
      <x:c r="E17" s="85" t="str">
        <x:v>Query was followed by direct opens of both known primary IDs; checked tactile prediction and manipulation evidence separately.</x:v>
      </x:c>
    </x:row>
    <x:row r="18" ht="61" customHeight="1">
      <x:c r="A18" s="85" t="str">
        <x:v>2026-10-01</x:v>
      </x:c>
      <x:c r="B18" s="85" t="str">
        <x:v>World model</x:v>
      </x:c>
      <x:c r="C18" s="85" t="str">
        <x:v>site.arxiv.org "Mastering Diverse Domains" "manipulation"</x:v>
      </x:c>
      <x:c r="D18" s="85" t="str">
        <x:v>https://doi.org/10.1038/s41586-025-08744-2; https://arxiv.org/abs/2301.04104</x:v>
      </x:c>
      <x:c r="E18" s="85" t="str">
        <x:v>Primary Nature search result explicitly identifies robot manipulation among evaluation domains. Direct Nature open returned an internal error; arXiv record opened. Nature and arXiv treated as one report.</x:v>
      </x:c>
    </x:row>
    <x:row r="19" ht="61" customHeight="1">
      <x:c r="A19" s="85" t="str">
        <x:v>2026-10-01</x:v>
      </x:c>
      <x:c r="B19" s="85" t="str">
        <x:v>World model</x:v>
      </x:c>
      <x:c r="C19" s="85" t="str">
        <x:v>site.arxiv.org "Genie: Generative Interactive" "robotics"</x:v>
      </x:c>
      <x:c r="D19" s="85" t="str">
        <x:v>https://arxiv.org/html/2402.15391v1; https://openreview.net/pdf?id=bJbSbJskOS</x:v>
      </x:c>
      <x:c r="E19" s="85" t="str">
        <x:v>Inspected primary Sec. 3.2 robotics-trained model and Sec. 3.3 game policy transfer; supports robotic predictive-system inclusion without claiming physical robot policy transfer.</x:v>
      </x:c>
    </x:row>
    <x:row r="20" ht="61" customHeight="1">
      <x:c r="A20" s="85" t="str">
        <x:v>2026-10-01</x:v>
      </x:c>
      <x:c r="B20" s="85" t="str">
        <x:v>World model</x:v>
      </x:c>
      <x:c r="C20" s="85" t="str">
        <x:v>site.arxiv.org "PlaNet" "manipulation" "1811.04551"</x:v>
      </x:c>
      <x:c r="D20" s="85" t="str">
        <x:v>https://arxiv.org/abs/1811.04551</x:v>
      </x:c>
      <x:c r="E20" s="85" t="str">
        <x:v>Direct primary record was also inspected. Retained as historical general continuous-control background under the proposed manipulation-focused core definition.</x:v>
      </x:c>
    </x:row>
    <x:row r="21" ht="69" customHeight="1">
      <x:c r="A21" s="85" t="str">
        <x:v>2026-10-01</x:v>
      </x:c>
      <x:c r="B21" s="85" t="str">
        <x:v>World model</x:v>
      </x:c>
      <x:c r="C21" s="85" t="str">
        <x:v>Direct primary-source opens and in-page finds for ambiguous current catalogue entries</x:v>
      </x:c>
      <x:c r="D21" s="85" t="str">
        <x:v>https://arxiv.org/html/2501.03575v3; https://arxiv.org/html/2310.16828v2; https://arxiv.org/abs/1912.01603; https://arxiv.org/abs/2010.02193; https://arxiv.org/abs/2404.13026; https://arxiv.org/abs/2603.12553; https://arxiv.org/abs/2510.10125; https://github.com/unitreerobotics/unifolm-world-model-action</x:v>
      </x:c>
      <x:c r="E21" s="85" t="str">
        <x:v>Navigation audit, not a search-engine query. Cosmos Sec6.2 distinguishes action adaptation; TD-MPC2 explicitly evaluates manipulation suites; PhysDreamer lacks downstream robot-control evidence in inspected abstract; UnifoLM inspected README cites software without a dedicated paper. Per-record locators are retained in wm_research.json.</x:v>
      </x:c>
    </x:row>
    <x:row r="22" ht="61" customHeight="1">
      <x:c r="A22" s="85" t="str">
        <x:v>2026-10-01</x:v>
      </x:c>
      <x:c r="B22" s="85" t="str">
        <x:v>Dataset / benchmark</x:v>
      </x:c>
      <x:c r="C22" s="85" t="str">
        <x:v>RoboTwin 2.0 A Scalable Data Generator and Benchmark arxiv</x:v>
      </x:c>
      <x:c r="D22" s="85" t="str">
        <x:v>https://arxiv.org/abs/2506.18088</x:v>
      </x:c>
      <x:c r="E22" s="85" t="str">
        <x:v>Discovery query; primary record verified in a subsequent arXiv-domain query and direct opening.</x:v>
      </x:c>
    </x:row>
    <x:row r="23" ht="61" customHeight="1">
      <x:c r="A23" s="85" t="str">
        <x:v>2026-10-01</x:v>
      </x:c>
      <x:c r="B23" s="85" t="str">
        <x:v>Dataset / benchmark</x:v>
      </x:c>
      <x:c r="C23" s="85" t="str">
        <x:v>VLABench A Large-Scale Benchmark Language Conditioned Robotics Manipulation arxiv</x:v>
      </x:c>
      <x:c r="D23" s="85" t="str">
        <x:v>https://arxiv.org/abs/2412.18194; https://openaccess.thecvf.com/content/ICCV2025/papers/Zhang_VLABench_A_Large-Scale_Benchmark_for_Language-Conditioned_Robotics_Manipulation_with_Long-Horizon_ICCV_2025_paper.pdf</x:v>
      </x:c>
      <x:c r="E23" s="85" t="str">
        <x:v>Existing manuscript paper; arXiv and conference versions represent one report.</x:v>
      </x:c>
    </x:row>
    <x:row r="24" ht="61" customHeight="1">
      <x:c r="A24" s="85" t="str">
        <x:v>2026-10-01</x:v>
      </x:c>
      <x:c r="B24" s="85" t="str">
        <x:v>Dataset / benchmark</x:v>
      </x:c>
      <x:c r="C24" s="85" t="str">
        <x:v>The Colosseum Benchmarking Generalization for Robotic Manipulation arxiv</x:v>
      </x:c>
      <x:c r="D24" s="85" t="str">
        <x:v>https://arxiv.org/abs/2402.08191; https://arxiv.org/abs/2605.27759</x:v>
      </x:c>
      <x:c r="E24" s="85" t="str">
        <x:v>Recovered original benchmark and distinct Colosseum V2 report.</x:v>
      </x:c>
    </x:row>
    <x:row r="25" ht="61" customHeight="1">
      <x:c r="A25" s="85" t="str">
        <x:v>2026-10-01</x:v>
      </x:c>
      <x:c r="B25" s="85" t="str">
        <x:v>Dataset / benchmark</x:v>
      </x:c>
      <x:c r="C25" s="85" t="str">
        <x:v>RoboMimic What Matters in Learning from Offline Human Demonstrations for Robot Manipulation arxiv</x:v>
      </x:c>
      <x:c r="D25" s="85" t="str">
        <x:v>https://arxiv.org/abs/2108.03298; https://robomimic.github.io/study/</x:v>
      </x:c>
      <x:c r="E25" s="85" t="str">
        <x:v>Added original offline-demonstration evaluation/data paper.</x:v>
      </x:c>
    </x:row>
    <x:row r="26" ht="61" customHeight="1">
      <x:c r="A26" s="85" t="str">
        <x:v>2026-10-01</x:v>
      </x:c>
      <x:c r="B26" s="85" t="str">
        <x:v>Dataset / benchmark</x:v>
      </x:c>
      <x:c r="C26" s="85" t="str">
        <x:v>site.arxiv.org "EWMBench"</x:v>
      </x:c>
      <x:c r="D26" s="85" t="str">
        <x:v>https://arxiv.org/abs/2505.09694</x:v>
      </x:c>
      <x:c r="E26" s="85" t="str">
        <x:v>Correct primary benchmark paper differs from current genieenvisioner citation.</x:v>
      </x:c>
    </x:row>
    <x:row r="27" ht="61" customHeight="1">
      <x:c r="A27" s="85" t="str">
        <x:v>2026-10-01</x:v>
      </x:c>
      <x:c r="B27" s="85" t="str">
        <x:v>Dataset / benchmark</x:v>
      </x:c>
      <x:c r="C27" s="85" t="str">
        <x:v>site.arxiv.org "RoboTwin 2.0"</x:v>
      </x:c>
      <x:c r="D27" s="85" t="str">
        <x:v>https://arxiv.org/abs/2506.18088</x:v>
      </x:c>
      <x:c r="E27" s="85" t="str">
        <x:v>Verified paper title, initial year, and manipulation scope.</x:v>
      </x:c>
    </x:row>
    <x:row r="28" ht="61" customHeight="1">
      <x:c r="A28" s="85" t="str">
        <x:v>2026-10-01</x:v>
      </x:c>
      <x:c r="B28" s="85" t="str">
        <x:v>Dataset / benchmark</x:v>
      </x:c>
      <x:c r="C28" s="85" t="str">
        <x:v>site.arxiv.org "GEMBench"</x:v>
      </x:c>
      <x:c r="D28" s="85" t="str">
        <x:v>https://arxiv.org/abs/2410.01345</x:v>
      </x:c>
      <x:c r="E28" s="85" t="str">
        <x:v>Disambiguated robotic GemBench from unrelated similarly named projects.</x:v>
      </x:c>
    </x:row>
    <x:row r="29" ht="61" customHeight="1">
      <x:c r="A29" s="85" t="str">
        <x:v>2026-10-01</x:v>
      </x:c>
      <x:c r="B29" s="85" t="str">
        <x:v>Dataset / benchmark</x:v>
      </x:c>
      <x:c r="C29" s="85" t="str">
        <x:v>site.arxiv.org "RoboCasa365"</x:v>
      </x:c>
      <x:c r="D29" s="85" t="str">
        <x:v>https://arxiv.org/abs/2603.04356; https://robocasa.ai/</x:v>
      </x:c>
      <x:c r="E29" s="85" t="str">
        <x:v>Verified distinct extension to RoboCasa and ICLR2026 report.</x:v>
      </x:c>
    </x:row>
    <x:row r="30" ht="61" customHeight="1">
      <x:c r="A30" s="85" t="str">
        <x:v>2026-10-01</x:v>
      </x:c>
      <x:c r="B30" s="85" t="str">
        <x:v>Dataset / benchmark</x:v>
      </x:c>
      <x:c r="C30" s="85" t="str">
        <x:v>Direct primary-source check: https://arxiv.org/abs/2310.08864</x:v>
      </x:c>
      <x:c r="D30" s="85" t="str">
        <x:v>https://arxiv.org/abs/2310.08864</x:v>
      </x:c>
      <x:c r="E30" s="85" t="str">
        <x:v>Primary arXiv abstract, title, and submission history; checked report identity and scope, not an assertion of completed full-text eligibility screening.</x:v>
      </x:c>
    </x:row>
    <x:row r="31" ht="61" customHeight="1">
      <x:c r="A31" s="85" t="str">
        <x:v>2026-10-01</x:v>
      </x:c>
      <x:c r="B31" s="85" t="str">
        <x:v>Dataset / benchmark</x:v>
      </x:c>
      <x:c r="C31" s="85" t="str">
        <x:v>Direct primary-source check: https://arxiv.org/abs/2510.13626</x:v>
      </x:c>
      <x:c r="D31" s="85" t="str">
        <x:v>https://arxiv.org/abs/2510.13626</x:v>
      </x:c>
      <x:c r="E31" s="85" t="str">
        <x:v>Primary arXiv abstract, title, and submission history; checked report identity and scope, not an assertion of completed full-text eligibility screening.</x:v>
      </x:c>
    </x:row>
    <x:row r="32" ht="61" customHeight="1">
      <x:c r="A32" s="85" t="str">
        <x:v>2026-10-01</x:v>
      </x:c>
      <x:c r="B32" s="85" t="str">
        <x:v>Dataset / benchmark</x:v>
      </x:c>
      <x:c r="C32" s="85" t="str">
        <x:v>Direct primary-source check: https://arxiv.org/abs/2512.16881</x:v>
      </x:c>
      <x:c r="D32" s="85" t="str">
        <x:v>https://arxiv.org/abs/2512.16881</x:v>
      </x:c>
      <x:c r="E32" s="85" t="str">
        <x:v>Primary arXiv abstract, title, and submission history; checked report identity and scope, not an assertion of completed full-text eligibility screening.</x:v>
      </x:c>
    </x:row>
    <x:row r="33" ht="61" customHeight="1">
      <x:c r="A33" s="85" t="str">
        <x:v>2026-10-01</x:v>
      </x:c>
      <x:c r="B33" s="85" t="str">
        <x:v>Dataset / benchmark</x:v>
      </x:c>
      <x:c r="C33" s="85" t="str">
        <x:v>Direct primary-source check: https://arxiv.org/abs/2306.03310</x:v>
      </x:c>
      <x:c r="D33" s="85" t="str">
        <x:v>https://arxiv.org/abs/2306.03310</x:v>
      </x:c>
      <x:c r="E33" s="85" t="str">
        <x:v>Primary arXiv abstract, title, and submission history; checked report identity and scope, not an assertion of completed full-text eligibility screening.</x:v>
      </x:c>
    </x:row>
    <x:row r="34" ht="61" customHeight="1">
      <x:c r="A34" s="85" t="str">
        <x:v>2026-10-01</x:v>
      </x:c>
      <x:c r="B34" s="85" t="str">
        <x:v>Dataset / benchmark</x:v>
      </x:c>
      <x:c r="C34" s="85" t="str">
        <x:v>Direct primary-source check: https://arxiv.org/abs/2405.05941</x:v>
      </x:c>
      <x:c r="D34" s="85" t="str">
        <x:v>https://arxiv.org/abs/2405.05941</x:v>
      </x:c>
      <x:c r="E34" s="85" t="str">
        <x:v>Primary arXiv abstract, title, and submission history; checked report identity and scope, not an assertion of completed full-text eligibility screening.</x:v>
      </x:c>
    </x:row>
    <x:row r="35" ht="61" customHeight="1">
      <x:c r="A35" s="85" t="str">
        <x:v>2026-10-01</x:v>
      </x:c>
      <x:c r="B35" s="85" t="str">
        <x:v>Dataset / benchmark</x:v>
      </x:c>
      <x:c r="C35" s="85" t="str">
        <x:v>Direct primary-source check: https://arxiv.org/abs/2112.03227</x:v>
      </x:c>
      <x:c r="D35" s="85" t="str">
        <x:v>https://arxiv.org/abs/2112.03227</x:v>
      </x:c>
      <x:c r="E35" s="85" t="str">
        <x:v>Primary arXiv abstract, title, and submission history; checked report identity and scope, not an assertion of completed full-text eligibility screening.</x:v>
      </x:c>
    </x:row>
    <x:row r="36" ht="61" customHeight="1">
      <x:c r="A36" s="85" t="str">
        <x:v>2026-10-01</x:v>
      </x:c>
      <x:c r="B36" s="85" t="str">
        <x:v>Dataset / benchmark</x:v>
      </x:c>
      <x:c r="C36" s="85" t="str">
        <x:v>Direct primary-source check: https://arxiv.org/abs/1909.12271</x:v>
      </x:c>
      <x:c r="D36" s="85" t="str">
        <x:v>https://arxiv.org/abs/1909.12271</x:v>
      </x:c>
      <x:c r="E36" s="85" t="str">
        <x:v>Primary arXiv abstract, title, and submission history; checked report identity and scope, not an assertion of completed full-text eligibility screening.</x:v>
      </x:c>
    </x:row>
    <x:row r="37" ht="61" customHeight="1">
      <x:c r="A37" s="85" t="str">
        <x:v>2026-10-01</x:v>
      </x:c>
      <x:c r="B37" s="85" t="str">
        <x:v>Dataset / benchmark</x:v>
      </x:c>
      <x:c r="C37" s="85" t="str">
        <x:v>Direct primary-source check: https://arxiv.org/abs/2410.00425</x:v>
      </x:c>
      <x:c r="D37" s="85" t="str">
        <x:v>https://arxiv.org/abs/2410.00425</x:v>
      </x:c>
      <x:c r="E37" s="85" t="str">
        <x:v>Primary arXiv abstract, title, and submission history; checked report identity and scope, not an assertion of completed full-text eligibility screening.</x:v>
      </x:c>
    </x:row>
    <x:row r="38" ht="61" customHeight="1">
      <x:c r="A38" s="85" t="str">
        <x:v>2026-10-01</x:v>
      </x:c>
      <x:c r="B38" s="85" t="str">
        <x:v>Dataset / benchmark</x:v>
      </x:c>
      <x:c r="C38" s="85" t="str">
        <x:v>Direct primary-source check: https://arxiv.org/abs/2406.02523</x:v>
      </x:c>
      <x:c r="D38" s="85" t="str">
        <x:v>https://arxiv.org/abs/2406.02523</x:v>
      </x:c>
      <x:c r="E38" s="85" t="str">
        <x:v>Primary arXiv abstract, title, and submission history; checked report identity and scope, not an assertion of completed full-text eligibility screening.</x:v>
      </x:c>
    </x:row>
    <x:row r="39" ht="61" customHeight="1">
      <x:c r="A39" s="85" t="str">
        <x:v>2026-10-01</x:v>
      </x:c>
      <x:c r="B39" s="85" t="str">
        <x:v>Dataset / benchmark</x:v>
      </x:c>
      <x:c r="C39" s="85" t="str">
        <x:v>Direct primary-source check: https://arxiv.org/abs/1910.10897</x:v>
      </x:c>
      <x:c r="D39" s="85" t="str">
        <x:v>https://arxiv.org/abs/1910.10897</x:v>
      </x:c>
      <x:c r="E39" s="85" t="str">
        <x:v>Primary arXiv abstract, title, and submission history; checked report identity and scope, not an assertion of completed full-text eligibility screening.</x:v>
      </x:c>
    </x:row>
    <x:row r="40" ht="61" customHeight="1">
      <x:c r="A40" s="85" t="str">
        <x:v>2026-10-01</x:v>
      </x:c>
      <x:c r="B40" s="85" t="str">
        <x:v>Dataset / benchmark</x:v>
      </x:c>
      <x:c r="C40" s="85" t="str">
        <x:v>Direct primary-source check: https://arxiv.org/abs/2506.18123</x:v>
      </x:c>
      <x:c r="D40" s="85" t="str">
        <x:v>https://arxiv.org/abs/2506.18123</x:v>
      </x:c>
      <x:c r="E40" s="85" t="str">
        <x:v>Primary arXiv abstract, title, and submission history; checked report identity and scope, not an assertion of completed full-text eligibility screening.</x:v>
      </x:c>
    </x:row>
    <x:row r="41" ht="61" customHeight="1">
      <x:c r="A41" s="85" t="str">
        <x:v>2026-10-01</x:v>
      </x:c>
      <x:c r="B41" s="85" t="str">
        <x:v>Dataset / benchmark</x:v>
      </x:c>
      <x:c r="C41" s="85" t="str">
        <x:v>Direct primary-source check: https://arxiv.org/abs/2403.12945</x:v>
      </x:c>
      <x:c r="D41" s="85" t="str">
        <x:v>https://arxiv.org/abs/2403.12945</x:v>
      </x:c>
      <x:c r="E41" s="85" t="str">
        <x:v>Primary arXiv abstract, title, and submission history; checked report identity and scope, not an assertion of completed full-text eligibility screening.</x:v>
      </x:c>
    </x:row>
    <x:row r="42" ht="61" customHeight="1">
      <x:c r="A42" s="85" t="str">
        <x:v>2026-10-01</x:v>
      </x:c>
      <x:c r="B42" s="85" t="str">
        <x:v>Dataset / benchmark</x:v>
      </x:c>
      <x:c r="C42" s="85" t="str">
        <x:v>Direct primary-source check: https://arxiv.org/abs/2308.12952</x:v>
      </x:c>
      <x:c r="D42" s="85" t="str">
        <x:v>https://arxiv.org/abs/2308.12952</x:v>
      </x:c>
      <x:c r="E42" s="85" t="str">
        <x:v>Primary arXiv abstract, title, and submission history; checked report identity and scope, not an assertion of completed full-text eligibility screening.</x:v>
      </x:c>
    </x:row>
    <x:row r="43" ht="61" customHeight="1">
      <x:c r="A43" s="85" t="str">
        <x:v>2026-10-01</x:v>
      </x:c>
      <x:c r="B43" s="85" t="str">
        <x:v>Dataset / benchmark</x:v>
      </x:c>
      <x:c r="C43" s="85" t="str">
        <x:v>Direct primary-source check: https://arxiv.org/abs/2503.06669</x:v>
      </x:c>
      <x:c r="D43" s="85" t="str">
        <x:v>https://arxiv.org/abs/2503.06669</x:v>
      </x:c>
      <x:c r="E43" s="85" t="str">
        <x:v>Primary arXiv abstract, title, and submission history; checked report identity and scope, not an assertion of completed full-text eligibility screening.</x:v>
      </x:c>
    </x:row>
    <x:row r="44" ht="61" customHeight="1">
      <x:c r="A44" s="85" t="str">
        <x:v>2026-10-01</x:v>
      </x:c>
      <x:c r="B44" s="85" t="str">
        <x:v>Dataset / benchmark</x:v>
      </x:c>
      <x:c r="C44" s="85" t="str">
        <x:v>Direct primary-source check: https://arxiv.org/abs/2502.20694</x:v>
      </x:c>
      <x:c r="D44" s="85" t="str">
        <x:v>https://arxiv.org/abs/2502.20694</x:v>
      </x:c>
      <x:c r="E44" s="85" t="str">
        <x:v>Primary arXiv abstract, title, and submission history; checked report identity and scope, not an assertion of completed full-text eligibility screening.</x:v>
      </x:c>
    </x:row>
    <x:row r="45" ht="61" customHeight="1">
      <x:c r="A45" s="85" t="str">
        <x:v>2026-10-01</x:v>
      </x:c>
      <x:c r="B45" s="85" t="str">
        <x:v>Dataset / benchmark</x:v>
      </x:c>
      <x:c r="C45" s="85" t="str">
        <x:v>Direct primary-source check: https://arxiv.org/abs/2501.09038</x:v>
      </x:c>
      <x:c r="D45" s="85" t="str">
        <x:v>https://arxiv.org/abs/2501.09038</x:v>
      </x:c>
      <x:c r="E45" s="85" t="str">
        <x:v>Primary arXiv abstract, title, and submission history; checked report identity and scope, not an assertion of completed full-text eligibility screening.</x:v>
      </x:c>
    </x:row>
    <x:row r="46" ht="61" customHeight="1">
      <x:c r="A46" s="85" t="str">
        <x:v>2026-10-01</x:v>
      </x:c>
      <x:c r="B46" s="85" t="str">
        <x:v>Dataset / benchmark</x:v>
      </x:c>
      <x:c r="C46" s="85" t="str">
        <x:v>Direct primary-source check: https://arxiv.org/abs/2503.21755</x:v>
      </x:c>
      <x:c r="D46" s="85" t="str">
        <x:v>https://arxiv.org/abs/2503.21755</x:v>
      </x:c>
      <x:c r="E46" s="85" t="str">
        <x:v>Primary arXiv abstract, title, and submission history; checked report identity and scope, not an assertion of completed full-text eligibility screening.</x:v>
      </x:c>
    </x:row>
    <x:row r="47" ht="61" customHeight="1">
      <x:c r="A47" s="85" t="str">
        <x:v>2026-10-01</x:v>
      </x:c>
      <x:c r="B47" s="85" t="str">
        <x:v>Dataset / benchmark</x:v>
      </x:c>
      <x:c r="C47" s="85" t="str">
        <x:v>Direct primary-source check: https://arxiv.org/abs/2602.08971</x:v>
      </x:c>
      <x:c r="D47" s="85" t="str">
        <x:v>https://arxiv.org/abs/2602.08971</x:v>
      </x:c>
      <x:c r="E47" s="85" t="str">
        <x:v>Primary arXiv abstract, title, and submission history; checked report identity and scope, not an assertion of completed full-text eligibility screening.</x:v>
      </x:c>
    </x:row>
    <x:row r="48" ht="61" customHeight="1">
      <x:c r="A48" s="85" t="str">
        <x:v>2026-10-01</x:v>
      </x:c>
      <x:c r="B48" s="85" t="str">
        <x:v>Dataset / benchmark</x:v>
      </x:c>
      <x:c r="C48" s="85" t="str">
        <x:v>Direct primary-source check: https://arxiv.org/abs/2605.17912</x:v>
      </x:c>
      <x:c r="D48" s="85" t="str">
        <x:v>https://arxiv.org/abs/2605.17912</x:v>
      </x:c>
      <x:c r="E48" s="85" t="str">
        <x:v>Primary arXiv abstract, title, and submission history; checked report identity and scope, not an assertion of completed full-text eligibility screening.</x:v>
      </x:c>
    </x:row>
    <x:row r="49" ht="61" customHeight="1">
      <x:c r="A49" s="85" t="str">
        <x:v>2026-10-01</x:v>
      </x:c>
      <x:c r="B49" s="85" t="str">
        <x:v>Dataset / benchmark</x:v>
      </x:c>
      <x:c r="C49" s="85" t="str">
        <x:v>Direct primary-source check: https://arxiv.org/abs/2603.28545</x:v>
      </x:c>
      <x:c r="D49" s="85" t="str">
        <x:v>https://arxiv.org/abs/2603.28545</x:v>
      </x:c>
      <x:c r="E49" s="85" t="str">
        <x:v>Primary arXiv abstract, title, and submission history; checked report identity and scope, not an assertion of completed full-text eligibility screening.</x:v>
      </x:c>
    </x:row>
    <x:row r="50" ht="61" customHeight="1">
      <x:c r="A50" s="85" t="str">
        <x:v>2026-10-01</x:v>
      </x:c>
      <x:c r="B50" s="85" t="str">
        <x:v>Dataset / benchmark</x:v>
      </x:c>
      <x:c r="C50" s="85" t="str">
        <x:v>Direct primary-source check: https://arxiv.org/abs/2602.22818</x:v>
      </x:c>
      <x:c r="D50" s="85" t="str">
        <x:v>https://arxiv.org/abs/2602.22818</x:v>
      </x:c>
      <x:c r="E50" s="85" t="str">
        <x:v>Primary arXiv abstract, title, and submission history; checked report identity and scope, not an assertion of completed full-text eligibility screening.</x:v>
      </x:c>
    </x:row>
    <x:row r="51" ht="61" customHeight="1">
      <x:c r="A51" s="85" t="str">
        <x:v>2026-10-01</x:v>
      </x:c>
      <x:c r="B51" s="85" t="str">
        <x:v>Dataset / benchmark</x:v>
      </x:c>
      <x:c r="C51" s="85" t="str">
        <x:v>Direct primary-source check: https://arxiv.org/abs/2110.07058</x:v>
      </x:c>
      <x:c r="D51" s="85" t="str">
        <x:v>https://arxiv.org/abs/2110.07058</x:v>
      </x:c>
      <x:c r="E51" s="85" t="str">
        <x:v>Primary arXiv abstract, title, and submission history; checked report identity and scope, not an assertion of completed full-text eligibility screening.</x:v>
      </x:c>
    </x:row>
    <x:row r="52" ht="61" customHeight="1">
      <x:c r="A52" s="85" t="str">
        <x:v>2026-10-01</x:v>
      </x:c>
      <x:c r="B52" s="85" t="str">
        <x:v>Dataset / benchmark</x:v>
      </x:c>
      <x:c r="C52" s="85" t="str">
        <x:v>Direct primary-source check: https://arxiv.org/abs/2403.09227</x:v>
      </x:c>
      <x:c r="D52" s="85" t="str">
        <x:v>https://arxiv.org/abs/2403.09227</x:v>
      </x:c>
      <x:c r="E52" s="85" t="str">
        <x:v>Primary arXiv abstract, title, and submission history; checked report identity and scope, not an assertion of completed full-text eligibility screening.</x:v>
      </x:c>
    </x:row>
    <x:row r="53" ht="61" customHeight="1">
      <x:c r="A53" s="85" t="str">
        <x:v>2026-10-01</x:v>
      </x:c>
      <x:c r="B53" s="85" t="str">
        <x:v>Dataset / benchmark</x:v>
      </x:c>
      <x:c r="C53" s="85" t="str">
        <x:v>Direct primary-source check: https://arxiv.org/abs/2305.12821</x:v>
      </x:c>
      <x:c r="D53" s="85" t="str">
        <x:v>https://arxiv.org/abs/2305.12821</x:v>
      </x:c>
      <x:c r="E53" s="85" t="str">
        <x:v>Primary arXiv abstract, title, and submission history; checked report identity and scope, not an assertion of completed full-text eligibility screening.</x:v>
      </x:c>
    </x:row>
    <x:row r="54" ht="61" customHeight="1">
      <x:c r="A54" s="85" t="str">
        <x:v>2026-10-01</x:v>
      </x:c>
      <x:c r="B54" s="85" t="str">
        <x:v>Dataset / benchmark</x:v>
      </x:c>
      <x:c r="C54" s="85" t="str">
        <x:v>Direct primary-source check: https://arxiv.org/abs/2402.08191</x:v>
      </x:c>
      <x:c r="D54" s="85" t="str">
        <x:v>https://arxiv.org/abs/2402.08191</x:v>
      </x:c>
      <x:c r="E54" s="85" t="str">
        <x:v>Primary arXiv abstract, title, and submission history; checked report identity and scope, not an assertion of completed full-text eligibility screening.</x:v>
      </x:c>
    </x:row>
    <x:row r="55" ht="61" customHeight="1">
      <x:c r="A55" s="85" t="str">
        <x:v>2026-10-01</x:v>
      </x:c>
      <x:c r="B55" s="85" t="str">
        <x:v>Dataset / benchmark</x:v>
      </x:c>
      <x:c r="C55" s="85" t="str">
        <x:v>Direct primary-source check: https://arxiv.org/abs/2412.18194</x:v>
      </x:c>
      <x:c r="D55" s="85" t="str">
        <x:v>https://arxiv.org/abs/2412.18194</x:v>
      </x:c>
      <x:c r="E55" s="85" t="str">
        <x:v>Primary arXiv abstract, title, and submission history; checked report identity and scope, not an assertion of completed full-text eligibility screening.</x:v>
      </x:c>
    </x:row>
    <x:row r="56" ht="61" customHeight="1">
      <x:c r="A56" s="85" t="str">
        <x:v>2026-10-01</x:v>
      </x:c>
      <x:c r="B56" s="85" t="str">
        <x:v>Dataset / benchmark</x:v>
      </x:c>
      <x:c r="C56" s="85" t="str">
        <x:v>Direct primary-source check: https://arxiv.org/abs/2307.00595</x:v>
      </x:c>
      <x:c r="D56" s="85" t="str">
        <x:v>https://arxiv.org/abs/2307.00595</x:v>
      </x:c>
      <x:c r="E56" s="85" t="str">
        <x:v>Primary arXiv abstract, title, and submission history; checked report identity and scope, not an assertion of completed full-text eligibility screening.</x:v>
      </x:c>
    </x:row>
    <x:row r="57" ht="61" customHeight="1">
      <x:c r="A57" s="85" t="str">
        <x:v>2026-10-01</x:v>
      </x:c>
      <x:c r="B57" s="85" t="str">
        <x:v>Dataset / benchmark</x:v>
      </x:c>
      <x:c r="C57" s="85" t="str">
        <x:v>Direct primary-source check: https://arxiv.org/abs/2412.13877</x:v>
      </x:c>
      <x:c r="D57" s="85" t="str">
        <x:v>https://arxiv.org/abs/2412.13877</x:v>
      </x:c>
      <x:c r="E57" s="85" t="str">
        <x:v>Primary arXiv abstract, title, and submission history; checked report identity and scope, not an assertion of completed full-text eligibility screening.</x:v>
      </x:c>
    </x:row>
    <x:row r="58" ht="61" customHeight="1">
      <x:c r="A58" s="85" t="str">
        <x:v>2026-10-01</x:v>
      </x:c>
      <x:c r="B58" s="85" t="str">
        <x:v>Dataset / benchmark</x:v>
      </x:c>
      <x:c r="C58" s="85" t="str">
        <x:v>Direct primary-source check: https://arxiv.org/abs/2606.23686</x:v>
      </x:c>
      <x:c r="D58" s="85" t="str">
        <x:v>https://arxiv.org/abs/2606.23686</x:v>
      </x:c>
      <x:c r="E58" s="85" t="str">
        <x:v>Primary arXiv abstract, title, and submission history; checked report identity and scope, not an assertion of completed full-text eligibility screening.</x:v>
      </x:c>
    </x:row>
    <x:row r="59" ht="61" customHeight="1">
      <x:c r="A59" s="85" t="str">
        <x:v>2026-10-01</x:v>
      </x:c>
      <x:c r="B59" s="85" t="str">
        <x:v>Dataset / benchmark</x:v>
      </x:c>
      <x:c r="C59" s="85" t="str">
        <x:v>Direct primary-source check: https://github.com/allenai/vla-evaluation-harness/tree/v0.4.0</x:v>
      </x:c>
      <x:c r="D59" s="85" t="str">
        <x:v>https://github.com/allenai/vla-evaluation-harness/tree/v0.4.0</x:v>
      </x:c>
      <x:c r="E59" s="85" t="str">
        <x:v>Official repository README at v0.4.0: Motivation, Architecture, Citation; checked report identity and scope, not an assertion of completed full-text eligibility screening.</x:v>
      </x:c>
    </x:row>
    <x:row r="60" ht="61" customHeight="1">
      <x:c r="A60" s="85" t="str">
        <x:v>2026-10-01</x:v>
      </x:c>
      <x:c r="B60" s="85" t="str">
        <x:v>Dataset / benchmark</x:v>
      </x:c>
      <x:c r="C60" s="85" t="str">
        <x:v>Direct primary-source check: https://arxiv.org/abs/2310.17596</x:v>
      </x:c>
      <x:c r="D60" s="85" t="str">
        <x:v>https://arxiv.org/abs/2310.17596</x:v>
      </x:c>
      <x:c r="E60" s="85" t="str">
        <x:v>Primary arXiv abstract, title, and submission history; checked report identity and scope, not an assertion of completed full-text eligibility screening.</x:v>
      </x:c>
    </x:row>
    <x:row r="61" ht="61" customHeight="1">
      <x:c r="A61" s="85" t="str">
        <x:v>2026-10-01</x:v>
      </x:c>
      <x:c r="B61" s="85" t="str">
        <x:v>Dataset / benchmark</x:v>
      </x:c>
      <x:c r="C61" s="85" t="str">
        <x:v>Direct primary-source check: https://arxiv.org/abs/2410.24185</x:v>
      </x:c>
      <x:c r="D61" s="85" t="str">
        <x:v>https://arxiv.org/abs/2410.24185</x:v>
      </x:c>
      <x:c r="E61" s="85" t="str">
        <x:v>Primary arXiv abstract, title, and submission history; checked report identity and scope, not an assertion of completed full-text eligibility screening.</x:v>
      </x:c>
    </x:row>
    <x:row r="62" ht="61" customHeight="1">
      <x:c r="A62" s="85" t="str">
        <x:v>2026-10-01</x:v>
      </x:c>
      <x:c r="B62" s="85" t="str">
        <x:v>Dataset / benchmark</x:v>
      </x:c>
      <x:c r="C62" s="85" t="str">
        <x:v>Direct primary-source check: https://arxiv.org/abs/2505.09694</x:v>
      </x:c>
      <x:c r="D62" s="85" t="str">
        <x:v>https://arxiv.org/abs/2505.09694</x:v>
      </x:c>
      <x:c r="E62" s="85" t="str">
        <x:v>arXiv title/abstract; HTML v2 Sections 3.1-3.3, Appendix A.2, and Limitations; checked report identity and scope, not an assertion of completed full-text eligibility screening.</x:v>
      </x:c>
    </x:row>
    <x:row r="63" ht="61" customHeight="1">
      <x:c r="A63" s="85" t="str">
        <x:v>2026-10-01</x:v>
      </x:c>
      <x:c r="B63" s="85" t="str">
        <x:v>Dataset / benchmark</x:v>
      </x:c>
      <x:c r="C63" s="85" t="str">
        <x:v>Direct primary-source check: https://arxiv.org/abs/2506.18088</x:v>
      </x:c>
      <x:c r="D63" s="85" t="str">
        <x:v>https://arxiv.org/abs/2506.18088</x:v>
      </x:c>
      <x:c r="E63" s="85" t="str">
        <x:v>Primary arXiv abstract, title, and submission history; checked report identity and scope, not an assertion of completed full-text eligibility screening.</x:v>
      </x:c>
    </x:row>
    <x:row r="64" ht="61" customHeight="1">
      <x:c r="A64" s="85" t="str">
        <x:v>2026-10-01</x:v>
      </x:c>
      <x:c r="B64" s="85" t="str">
        <x:v>Dataset / benchmark</x:v>
      </x:c>
      <x:c r="C64" s="85" t="str">
        <x:v>Direct primary-source check: https://arxiv.org/abs/2603.04356</x:v>
      </x:c>
      <x:c r="D64" s="85" t="str">
        <x:v>https://arxiv.org/abs/2603.04356</x:v>
      </x:c>
      <x:c r="E64" s="85" t="str">
        <x:v>Primary arXiv abstract, title, and submission history; checked report identity and scope, not an assertion of completed full-text eligibility screening.</x:v>
      </x:c>
    </x:row>
    <x:row r="65" ht="61" customHeight="1">
      <x:c r="A65" s="85" t="str">
        <x:v>2026-10-01</x:v>
      </x:c>
      <x:c r="B65" s="85" t="str">
        <x:v>Dataset / benchmark</x:v>
      </x:c>
      <x:c r="C65" s="85" t="str">
        <x:v>Direct primary-source check: https://arxiv.org/abs/2410.01345</x:v>
      </x:c>
      <x:c r="D65" s="85" t="str">
        <x:v>https://arxiv.org/abs/2410.01345</x:v>
      </x:c>
      <x:c r="E65" s="85" t="str">
        <x:v>Primary arXiv abstract, title, and submission history; checked report identity and scope, not an assertion of completed full-text eligibility screening.</x:v>
      </x:c>
    </x:row>
    <x:row r="66" ht="61" customHeight="1">
      <x:c r="A66" s="85" t="str">
        <x:v>2026-10-01</x:v>
      </x:c>
      <x:c r="B66" s="85" t="str">
        <x:v>Dataset / benchmark</x:v>
      </x:c>
      <x:c r="C66" s="85" t="str">
        <x:v>Direct primary-source check: https://arxiv.org/abs/2108.03298</x:v>
      </x:c>
      <x:c r="D66" s="85" t="str">
        <x:v>https://arxiv.org/abs/2108.03298</x:v>
      </x:c>
      <x:c r="E66" s="85" t="str">
        <x:v>Primary arXiv abstract, title, and submission history; checked report identity and scope, not an assertion of completed full-text eligibility screening.</x:v>
      </x:c>
    </x:row>
    <x:row r="67" ht="61" customHeight="1">
      <x:c r="A67" s="85" t="str">
        <x:v>2026-10-01</x:v>
      </x:c>
      <x:c r="B67" s="85" t="str">
        <x:v>Dataset / benchmark</x:v>
      </x:c>
      <x:c r="C67" s="85" t="str">
        <x:v>Direct primary-source check: https://arxiv.org/abs/2605.27759</x:v>
      </x:c>
      <x:c r="D67" s="85" t="str">
        <x:v>https://arxiv.org/abs/2605.27759</x:v>
      </x:c>
      <x:c r="E67" s="85" t="str">
        <x:v>Primary arXiv abstract, title, and submission history; checked report identity and scope, not an assertion of completed full-text eligibility screening.</x:v>
      </x:c>
    </x:row>
    <x:row r="68" ht="61" customHeight="1">
      <x:c r="A68" s="85" t="str">
        <x:v>2026-10-01</x:v>
      </x:c>
      <x:c r="B68" s="85" t="str">
        <x:v>Dataset / benchmark</x:v>
      </x:c>
      <x:c r="C68" s="85" t="str">
        <x:v>Direct primary-source check: https://arxiv.org/abs/2603.13966</x:v>
      </x:c>
      <x:c r="D68" s="85" t="str">
        <x:v>https://arxiv.org/abs/2603.13966</x:v>
      </x:c>
      <x:c r="E68" s="85" t="str">
        <x:v>Primary arXiv abstract, title, and submission history; checked report identity and scope, not an assertion of completed full-text eligibility screening.</x:v>
      </x:c>
    </x:row>
    <x:row r="69" ht="61" customHeight="1">
      <x:c r="A69" s="85" t="str">
        <x:v>2026-10-01</x:v>
      </x:c>
      <x:c r="B69" s="85" t="str">
        <x:v>Dataset / benchmark</x:v>
      </x:c>
      <x:c r="C69" s="85" t="str">
        <x:v>Citation chasing from the official VLA Evaluation Harness v0.4.0 README, Citation section</x:v>
      </x:c>
      <x:c r="D69" s="85" t="str">
        <x:v>https://github.com/allenai/vla-evaluation-harness/tree/v0.4.0; https://arxiv.org/abs/2603.13966</x:v>
      </x:c>
      <x:c r="E69" s="85" t="str">
        <x:v>The existing software record is retained separately from the linked paper; count one research report.</x:v>
      </x:c>
    </x:row>
    <x:row r="70" ht="61" customHeight="1">
      <x:c r="A70" s="85" t="str">
        <x:v>2026-10-01</x:v>
      </x:c>
      <x:c r="B70" s="85" t="str">
        <x:v>Dataset / benchmark</x:v>
      </x:c>
      <x:c r="C70" s="85" t="str">
        <x:v>Direct HTML check and find: AgiBot</x:v>
      </x:c>
      <x:c r="D70" s="85" t="str">
        <x:v>https://arxiv.org/html/2505.09694v2</x:v>
      </x:c>
      <x:c r="E70" s="85" t="str">
        <x:v>Confirmed the EWMBench dataset uses AgiBot-World manipulation tasks; checked Sections3.1-3.3, AppendixA.2, and Limitations.</x:v>
      </x:c>
    </x:row>
    <x:row r="71" ht="61" customHeight="1">
      <x:c r="A71" s="85" t="str">
        <x:v>2026-10-02</x:v>
      </x:c>
      <x:c r="B71" s="85" t="str">
        <x:v>VLA</x:v>
      </x:c>
      <x:c r="C71" s="85" t="str">
        <x:v>Direct primary-source check of author-supplied Seer: https://arxiv.org/abs/2412.15109</x:v>
      </x:c>
      <x:c r="D71" s="85" t="str">
        <x:v>https://arxiv.org/abs/2412.15109</x:v>
      </x:c>
      <x:c r="E71" s="85" t="str">
        <x:v>Checked exact paper title, full authors, first-submission year and abstract/domain role. Added as R208 with author-approved Include. This was an exact-name/source check and did not repeat the original systematic search.</x:v>
      </x:c>
    </x:row>
    <x:row r="72" ht="61" customHeight="1">
      <x:c r="A72" s="85" t="str">
        <x:v>2026-10-02</x:v>
      </x:c>
      <x:c r="B72" s="85" t="str">
        <x:v>VLA</x:v>
      </x:c>
      <x:c r="C72" s="85" t="str">
        <x:v>Direct primary-source check of author-supplied Video Prediction Policy: https://arxiv.org/abs/2412.14803</x:v>
      </x:c>
      <x:c r="D72" s="85" t="str">
        <x:v>https://arxiv.org/abs/2412.14803</x:v>
      </x:c>
      <x:c r="E72" s="85" t="str">
        <x:v>Checked exact paper title, full authors, first-submission year and abstract/domain role. Added as R209 with author-approved Include. This was an exact-name/source check and did not repeat the original systematic search.</x:v>
      </x:c>
    </x:row>
    <x:row r="73" ht="61" customHeight="1">
      <x:c r="A73" s="85" t="str">
        <x:v>2026-10-02</x:v>
      </x:c>
      <x:c r="B73" s="85" t="str">
        <x:v>World model</x:v>
      </x:c>
      <x:c r="C73" s="85" t="str">
        <x:v>Direct primary-source check of author-supplied Unified World Models: https://arxiv.org/abs/2504.02792</x:v>
      </x:c>
      <x:c r="D73" s="85" t="str">
        <x:v>https://arxiv.org/abs/2504.02792</x:v>
      </x:c>
      <x:c r="E73" s="85" t="str">
        <x:v>Checked exact paper title, full authors, first-submission year and abstract/domain role. Added as R210 with author-approved Include. This was an exact-name/source check and did not repeat the original systematic search.</x:v>
      </x:c>
    </x:row>
    <x:row r="74" ht="61" customHeight="1">
      <x:c r="A74" s="85" t="str">
        <x:v>2026-10-02</x:v>
      </x:c>
      <x:c r="B74" s="85" t="str">
        <x:v>VLA</x:v>
      </x:c>
      <x:c r="C74" s="85" t="str">
        <x:v>Direct primary-source check for contextual citation: https://arxiv.org/abs/2606.09630</x:v>
      </x:c>
      <x:c r="D74" s="85" t="str">
        <x:v>https://arxiv.org/abs/2606.09630</x:v>
      </x:c>
      <x:c r="E74" s="85" t="str">
        <x:v>Identity, title, author list, first-report year and planning/recovery role checked during reviewer revision. Retained as Background R211. No new broad search and no change to the 144 included reports.</x:v>
      </x:c>
    </x:row>
    <x:row r="75" ht="61" customHeight="1">
      <x:c r="A75" s="85" t="str">
        <x:v>2026-10-02</x:v>
      </x:c>
      <x:c r="B75" s="85" t="str">
        <x:v>Background / other</x:v>
      </x:c>
      <x:c r="C75" s="85" t="str">
        <x:v>Direct primary-source check for contextual citation: https://arxiv.org/abs/2103.00589</x:v>
      </x:c>
      <x:c r="D75" s="85" t="str">
        <x:v>https://arxiv.org/abs/2103.00589</x:v>
      </x:c>
      <x:c r="E75" s="85" t="str">
        <x:v>Identity, title, author list, first-report year and planning/recovery role checked during reviewer revision. Retained as Background R212. No new broad search and no change to the 144 included reports.</x:v>
      </x:c>
    </x:row>
    <x:row r="76" ht="61" customHeight="1">
      <x:c r="A76" s="85" t="str">
        <x:v>2026-10-02</x:v>
      </x:c>
      <x:c r="B76" s="85" t="str">
        <x:v>Background / other</x:v>
      </x:c>
      <x:c r="C76" s="85" t="str">
        <x:v>Direct primary-source check for contextual citation: https://arxiv.org/abs/2105.14074</x:v>
      </x:c>
      <x:c r="D76" s="85" t="str">
        <x:v>https://arxiv.org/abs/2105.14074</x:v>
      </x:c>
      <x:c r="E76" s="85" t="str">
        <x:v>Identity, title, author list, first-report year and planning/recovery role checked during reviewer revision. Retained as Background R213. No new broad search and no change to the 144 included reports.</x:v>
      </x:c>
    </x:row>
    <x:row r="77" ht="61" customHeight="1">
      <x:c r="A77" s="85" t="str">
        <x:v>2026-10-02</x:v>
      </x:c>
      <x:c r="B77" s="85" t="str">
        <x:v>Background / other</x:v>
      </x:c>
      <x:c r="C77" s="85" t="str">
        <x:v>Direct primary-source check for contextual citation: https://arxiv.org/abs/2203.09634</x:v>
      </x:c>
      <x:c r="D77" s="85" t="str">
        <x:v>https://arxiv.org/abs/2203.09634</x:v>
      </x:c>
      <x:c r="E77" s="85" t="str">
        <x:v>Identity, title, author list, first-report year and planning/recovery role checked during reviewer revision. Retained as Background R214. No new broad search and no change to the 144 included reports.</x:v>
      </x:c>
    </x:row>
  </x:sheetData>
  <x:pageMargins left="0.7" right="0.7" top="0.75" bottom="0.75" header="0.3" footer="0.3"/>
  <x:tableParts count="1">
    <x:tablePart r:id="R25e95ac40a834e44"/>
  </x:tableParts>
</x:worksheet>
</file>